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35" windowWidth="12435" windowHeight="6720" firstSheet="2" activeTab="2"/>
  </bookViews>
  <sheets>
    <sheet name="Project Backlog" sheetId="7" r:id="rId1"/>
    <sheet name="User Stories" sheetId="6" r:id="rId2"/>
    <sheet name="Burndown Chart" sheetId="8" r:id="rId3"/>
    <sheet name="Backlog" sheetId="9" r:id="rId4"/>
  </sheets>
  <calcPr calcId="145621"/>
</workbook>
</file>

<file path=xl/calcChain.xml><?xml version="1.0" encoding="utf-8"?>
<calcChain xmlns="http://schemas.openxmlformats.org/spreadsheetml/2006/main">
  <c r="C9" i="8" l="1"/>
  <c r="C8" i="8"/>
  <c r="C7" i="8"/>
  <c r="C6" i="8"/>
  <c r="C5" i="8"/>
  <c r="C4" i="8"/>
  <c r="C3" i="8"/>
  <c r="J32" i="7" l="1"/>
  <c r="J30" i="7"/>
  <c r="K26" i="7"/>
  <c r="K28" i="7"/>
  <c r="L26" i="7"/>
  <c r="G21" i="6"/>
  <c r="F27" i="6"/>
  <c r="F25" i="6"/>
  <c r="G23" i="6"/>
</calcChain>
</file>

<file path=xl/sharedStrings.xml><?xml version="1.0" encoding="utf-8"?>
<sst xmlns="http://schemas.openxmlformats.org/spreadsheetml/2006/main" count="403" uniqueCount="210">
  <si>
    <t>Patron</t>
  </si>
  <si>
    <t>Materials</t>
  </si>
  <si>
    <t>ID</t>
  </si>
  <si>
    <t>Title</t>
  </si>
  <si>
    <t>As a/an</t>
  </si>
  <si>
    <t>I want to…</t>
  </si>
  <si>
    <t>so that…</t>
  </si>
  <si>
    <t>Priority</t>
  </si>
  <si>
    <t>Time
Estimate</t>
  </si>
  <si>
    <t>Librarian log in</t>
  </si>
  <si>
    <t>librarian</t>
  </si>
  <si>
    <t>log in to the system</t>
  </si>
  <si>
    <t>I can access features only available to librarians</t>
  </si>
  <si>
    <t>Add Materials</t>
  </si>
  <si>
    <t>add new material to the materials catalog</t>
  </si>
  <si>
    <t>I can make newly purchased material available to our patrons and the public</t>
  </si>
  <si>
    <t>Delete Materials</t>
  </si>
  <si>
    <t>delete old material from the materials catalog</t>
  </si>
  <si>
    <t>material we have removed from the shelves and no longer have in our collection is removed from the catalog</t>
  </si>
  <si>
    <t>Update Materials</t>
  </si>
  <si>
    <t>update existing information in the materials catalog</t>
  </si>
  <si>
    <t>I can correct errors and change material information as necessary</t>
  </si>
  <si>
    <t>Add Patron</t>
  </si>
  <si>
    <t>add a new patron to the system</t>
  </si>
  <si>
    <t>they can check out library materials</t>
  </si>
  <si>
    <t>Delete Patrons</t>
  </si>
  <si>
    <t>delete a patron record from the system</t>
  </si>
  <si>
    <t>when patrons move away or stop using the library they are not unnecessarily left in the system</t>
  </si>
  <si>
    <t>Update Patrons</t>
  </si>
  <si>
    <t>update existing patron records in the system</t>
  </si>
  <si>
    <t xml:space="preserve">I can change their address, phone number, and email as needed </t>
  </si>
  <si>
    <t>Material Check-out</t>
  </si>
  <si>
    <t>check library materials out to patrons</t>
  </si>
  <si>
    <t>the library has  a record of who has borrowed material from the library</t>
  </si>
  <si>
    <t>Material Check-in</t>
  </si>
  <si>
    <t>check in library material that has been returned by a patron</t>
  </si>
  <si>
    <t>the materail is available for another patron to borrow</t>
  </si>
  <si>
    <t>Librarian Materials Search</t>
  </si>
  <si>
    <t>search the materials catalog</t>
  </si>
  <si>
    <t>I can locate items on the shelves</t>
  </si>
  <si>
    <t>Librarian Patron Search</t>
  </si>
  <si>
    <t>search patron records</t>
  </si>
  <si>
    <t>I can locate account details of a specific patron</t>
  </si>
  <si>
    <t>Manual Overdue Report</t>
  </si>
  <si>
    <t>manually run an overdue report</t>
  </si>
  <si>
    <t>I can locate overdue materials and see the details of the patron that has them checked out</t>
  </si>
  <si>
    <t>Public search</t>
  </si>
  <si>
    <t>public user</t>
  </si>
  <si>
    <t>I can determine if the library has the material I am looking for and if it it available or checked out</t>
  </si>
  <si>
    <t>Mobile device contact</t>
  </si>
  <si>
    <t>access the library's web site on a mobile device</t>
  </si>
  <si>
    <t>I can check library hours and call or email the library</t>
  </si>
  <si>
    <t>Mobile device search</t>
  </si>
  <si>
    <t xml:space="preserve">search the library's materials catalog on a mobile device </t>
  </si>
  <si>
    <t>Patron log in</t>
  </si>
  <si>
    <t>patron</t>
  </si>
  <si>
    <t>I can access my account details</t>
  </si>
  <si>
    <t>Patron search</t>
  </si>
  <si>
    <t>Patron account view</t>
  </si>
  <si>
    <t>view my account details</t>
  </si>
  <si>
    <t>to see what items I currently have checked out and what address, phone, and email address are on file</t>
  </si>
  <si>
    <t>Person-hours of work:</t>
  </si>
  <si>
    <t>Assuming 70% velocity, the hours it will take to actually complete the work:</t>
  </si>
  <si>
    <t>Theme</t>
  </si>
  <si>
    <t>Confirmations</t>
  </si>
  <si>
    <t>Notes</t>
  </si>
  <si>
    <r>
      <t xml:space="preserve">Status
</t>
    </r>
    <r>
      <rPr>
        <sz val="8"/>
        <color theme="1"/>
        <rFont val="Calibri"/>
        <family val="2"/>
        <scheme val="minor"/>
      </rPr>
      <t>/name/blank
/done/accepted</t>
    </r>
  </si>
  <si>
    <t>Actual
Time</t>
  </si>
  <si>
    <t>Site security</t>
  </si>
  <si>
    <t>Check In/Out</t>
  </si>
  <si>
    <t>Search</t>
  </si>
  <si>
    <t>Librarian materials search</t>
  </si>
  <si>
    <t>Librarian patron search</t>
  </si>
  <si>
    <t>Manual overdue report</t>
  </si>
  <si>
    <t>Public material search</t>
  </si>
  <si>
    <t>Mobile</t>
  </si>
  <si>
    <t>Patron material search</t>
  </si>
  <si>
    <t>Non-functional</t>
  </si>
  <si>
    <t>Site design</t>
  </si>
  <si>
    <t>Masterpages, external CSS, sitemap control, menu control</t>
  </si>
  <si>
    <t>Optional</t>
  </si>
  <si>
    <t>When the user touches the phone number, it should open the phone application and fill in the number on the phone so all they have to do is click "dial".
When the user touches the email address, it should open the email application and fill in the to: and subject: so all they need to do is type the message and click "send".</t>
  </si>
  <si>
    <t>Derived from:</t>
  </si>
  <si>
    <t>http://www.mountaingoatsoftware.com/blog/a-sample-format-for-a-spreadsheet-based-product-backlog</t>
  </si>
  <si>
    <t xml:space="preserve">Login Success: User is logged in and redirect to librarian home page.
 - "Remember me" checked - User automatically logs in next time.
 - "Remember me" not checked - Forced log in next time.
Login Failure: Display message
 - User name not found: Create an account     
 - Password incorrect: Recover password
Logout Success: User is redirected to unauthenticated users home page.
</t>
  </si>
  <si>
    <t>Must also be able to upload a photo of the material and have it automatically renamed to the ISBN# of the material.</t>
  </si>
  <si>
    <t>Librarian cannot submit form until all required fields are complete.
Required fields are denoted with an *.
If a required field is missing on submission, a message is displayed.
Photo must be .jpg format.
Photo must be renamed to the material's ISBN number.
If no photo is available, the system must indicate this.
User must be redirected after item is added to the database.</t>
  </si>
  <si>
    <t>Hours of work (including 70% velocity) that can be completed by a 3 person team in 1 iteration working 8 hour days:</t>
  </si>
  <si>
    <t>Hours of work  (including 70% velocity) that can be completed by a 4 person team in 1 iteration working 2 hour days:</t>
  </si>
  <si>
    <t>Hours of work (including 70% velocity) that can be completed by a 3 person team in 1 iteration working 2 hour days:</t>
  </si>
  <si>
    <t>Hours of work  (including 70% velocity) that can be completed by a 4 person team in 1 iteration working 8 hour days:</t>
  </si>
  <si>
    <t>Chris</t>
  </si>
  <si>
    <t>Database development</t>
  </si>
  <si>
    <t>database development</t>
  </si>
  <si>
    <t>add patrons</t>
  </si>
  <si>
    <t>view all patrons</t>
  </si>
  <si>
    <t>Megan</t>
  </si>
  <si>
    <t>Patron librarian search</t>
  </si>
  <si>
    <t>Scheduling</t>
  </si>
  <si>
    <t>Develop and regularly update spreadsheet</t>
  </si>
  <si>
    <t>Develop and regularly update burndown chart</t>
  </si>
  <si>
    <t>Explanation of how this worked</t>
  </si>
  <si>
    <t>Database Component</t>
  </si>
  <si>
    <t>Develop the complete database for iteration 1</t>
  </si>
  <si>
    <t>Database should be populated with sample patron and materials</t>
  </si>
  <si>
    <t>Use case diagram</t>
  </si>
  <si>
    <t>Develop use case diagram for iteration 1</t>
  </si>
  <si>
    <t>Develop activity diagram</t>
  </si>
  <si>
    <t>Develop sequence diagram</t>
  </si>
  <si>
    <t>Develop use case documents</t>
  </si>
  <si>
    <t>Complete all confirmations on Project Backlog</t>
  </si>
  <si>
    <t xml:space="preserve">Create a test plan including all required steps and possible outcomes </t>
  </si>
  <si>
    <t>Class Diagram</t>
  </si>
  <si>
    <t xml:space="preserve">Develop a class diagram </t>
  </si>
  <si>
    <t>Github</t>
  </si>
  <si>
    <t>Asp pages for</t>
  </si>
  <si>
    <t>Wireframe diagram</t>
  </si>
  <si>
    <t>Sitemap diagram</t>
  </si>
  <si>
    <t>Screen sketches</t>
  </si>
  <si>
    <t>Completed Y/N/IP</t>
  </si>
  <si>
    <t>Person who did this</t>
  </si>
  <si>
    <t>N</t>
  </si>
  <si>
    <t>Y</t>
  </si>
  <si>
    <t>Use case, activity, sequence for 8/9</t>
  </si>
  <si>
    <t>Test Plan for 8/9</t>
  </si>
  <si>
    <t>Connie</t>
  </si>
  <si>
    <t>Connie/Megan</t>
  </si>
  <si>
    <t>Everyone should push commits on github</t>
  </si>
  <si>
    <t>Security</t>
  </si>
  <si>
    <t>Details</t>
  </si>
  <si>
    <t>Librarians can login so they can access features only available to librarians</t>
  </si>
  <si>
    <t>Librarians can add materials</t>
  </si>
  <si>
    <t>Librarians can update materials</t>
  </si>
  <si>
    <t>Librarians can add patrons</t>
  </si>
  <si>
    <t>Librarians can delete patrons</t>
  </si>
  <si>
    <t>Librarians can delete materials</t>
  </si>
  <si>
    <t>Librarians can update patrons</t>
  </si>
  <si>
    <t>Check In/Checkout</t>
  </si>
  <si>
    <t>Librarians can check out materials to patrons</t>
  </si>
  <si>
    <t>Librarians can check in materials patrons have rented</t>
  </si>
  <si>
    <t>Patrons can search materials in the catalog</t>
  </si>
  <si>
    <t>Public Users can search materials in the catalog</t>
  </si>
  <si>
    <t>Public can contact library by phone call or email from mobile device</t>
  </si>
  <si>
    <t>Public can search library catalog by mobile device</t>
  </si>
  <si>
    <t>Patrons can login so they can view account details</t>
  </si>
  <si>
    <t>Developer's Choice</t>
  </si>
  <si>
    <t>Verify material ID exists in system</t>
  </si>
  <si>
    <t>Verify patron ID exists in system</t>
  </si>
  <si>
    <t>CSS</t>
  </si>
  <si>
    <t>External CSS</t>
  </si>
  <si>
    <t>Menu Control</t>
  </si>
  <si>
    <t>Sitemap Control</t>
  </si>
  <si>
    <t>Masterpages</t>
  </si>
  <si>
    <t>Time Estimate</t>
  </si>
  <si>
    <t>Actual Time</t>
  </si>
  <si>
    <t>Develop a database diagram</t>
  </si>
  <si>
    <t>Librarians can search materials in the catalog</t>
  </si>
  <si>
    <t>Librarians can search patron records</t>
  </si>
  <si>
    <t>Librarians can manually create an overdue report</t>
  </si>
  <si>
    <t>Chris / Megan</t>
  </si>
  <si>
    <t xml:space="preserve">Connie </t>
  </si>
  <si>
    <t>N/A</t>
  </si>
  <si>
    <t>All</t>
  </si>
  <si>
    <t xml:space="preserve">Megan </t>
  </si>
  <si>
    <t>Extra Testing</t>
  </si>
  <si>
    <t>Date</t>
  </si>
  <si>
    <t>Estimated Time</t>
  </si>
  <si>
    <t xml:space="preserve">Draft of wireframe and screen sketches </t>
  </si>
  <si>
    <t>Activity and sequence diagrams</t>
  </si>
  <si>
    <t>Ajax validation for new patron</t>
  </si>
  <si>
    <t>Edit and Delete patrons</t>
  </si>
  <si>
    <t>Edited activity and sequence diagrams</t>
  </si>
  <si>
    <t>Password recovery and patron details edits</t>
  </si>
  <si>
    <t>Date added to master</t>
  </si>
  <si>
    <t>Patron search update,</t>
  </si>
  <si>
    <t xml:space="preserve"> header &amp;menu updates</t>
  </si>
  <si>
    <t>Patrons/Materials view all edits</t>
  </si>
  <si>
    <t>Master page edits</t>
  </si>
  <si>
    <t>Check in/checkout</t>
  </si>
  <si>
    <t>Edits to checkin/checkout</t>
  </si>
  <si>
    <t>Worked on add materials/image upload</t>
  </si>
  <si>
    <t>Added map with link</t>
  </si>
  <si>
    <t>Images to details view</t>
  </si>
  <si>
    <t>Cleaned up drive</t>
  </si>
  <si>
    <t>Details view for patrons and users</t>
  </si>
  <si>
    <t>Finished uploading images</t>
  </si>
  <si>
    <t>Images working server wide</t>
  </si>
  <si>
    <t>Fixed user details and delete patrons</t>
  </si>
  <si>
    <t>Test Plan</t>
  </si>
  <si>
    <t>Worked on patron details</t>
  </si>
  <si>
    <t>Overdue report, developers choice</t>
  </si>
  <si>
    <t>Checkout fix</t>
  </si>
  <si>
    <t>Edit add patrons</t>
  </si>
  <si>
    <t>Second Developers Choice</t>
  </si>
  <si>
    <t>Security validation</t>
  </si>
  <si>
    <t>Cursor focus</t>
  </si>
  <si>
    <t>Added titles to pages and fixed material details</t>
  </si>
  <si>
    <t>Added TR references</t>
  </si>
  <si>
    <t>Editing documentation</t>
  </si>
  <si>
    <t>Mobile Website</t>
  </si>
  <si>
    <t>Validations added</t>
  </si>
  <si>
    <t>ERD</t>
  </si>
  <si>
    <t>Bug Fixes</t>
  </si>
  <si>
    <t>Centering, titles and edit screen sketches</t>
  </si>
  <si>
    <t>Testing</t>
  </si>
  <si>
    <t>Minor Edits</t>
  </si>
  <si>
    <t>Minor edits</t>
  </si>
  <si>
    <t>set up login for librarians and patrons</t>
  </si>
  <si>
    <t>Hours</t>
  </si>
  <si>
    <t>Activity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</si>
</sst>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1"/>
      <color theme="1"/>
      <name val="Calibri"/>
      <family val="2"/>
      <scheme val="minor"/>
    </font>
    <font>
      <b/>
      <sz val="11"/>
      <color theme="1"/>
      <name val="Calibri"/>
      <family val="2"/>
      <scheme val="minor"/>
    </font>
    <font>
      <sz val="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auto="1"/>
      </left>
      <right style="thin">
        <color indexed="64"/>
      </right>
      <top style="medium">
        <color auto="1"/>
      </top>
      <bottom/>
      <diagonal/>
    </border>
    <border>
      <left style="medium">
        <color auto="1"/>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1" xfId="0"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wrapText="1"/>
    </xf>
    <xf numFmtId="0" fontId="0" fillId="0" borderId="5" xfId="0" applyBorder="1" applyAlignment="1">
      <alignment horizontal="center" vertical="center"/>
    </xf>
    <xf numFmtId="0" fontId="0" fillId="0" borderId="0" xfId="0" applyBorder="1" applyAlignment="1">
      <alignment horizontal="left" vertical="center"/>
    </xf>
    <xf numFmtId="0" fontId="0" fillId="0" borderId="1" xfId="0" applyBorder="1" applyAlignment="1">
      <alignment vertical="center" wrapText="1"/>
    </xf>
    <xf numFmtId="0" fontId="0" fillId="0" borderId="6" xfId="0" applyBorder="1" applyAlignment="1">
      <alignmen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Alignment="1">
      <alignment horizontal="right"/>
    </xf>
    <xf numFmtId="0" fontId="3" fillId="3" borderId="0" xfId="0" applyFont="1" applyFill="1" applyBorder="1" applyAlignment="1">
      <alignment horizontal="center" vertical="center"/>
    </xf>
    <xf numFmtId="0" fontId="3" fillId="3" borderId="0" xfId="0" applyFont="1" applyFill="1" applyBorder="1" applyAlignment="1">
      <alignment horizontal="left" vertical="center"/>
    </xf>
    <xf numFmtId="0" fontId="3" fillId="3" borderId="0" xfId="0" applyFont="1" applyFill="1" applyBorder="1" applyAlignment="1">
      <alignment vertical="center"/>
    </xf>
    <xf numFmtId="0" fontId="3" fillId="3" borderId="0" xfId="0" applyFont="1" applyFill="1" applyBorder="1" applyAlignment="1">
      <alignment horizontal="center" vertical="center" wrapText="1"/>
    </xf>
    <xf numFmtId="0" fontId="0" fillId="0" borderId="1" xfId="0" applyBorder="1" applyAlignment="1">
      <alignment horizontal="left" vertical="center"/>
    </xf>
    <xf numFmtId="0" fontId="0" fillId="3" borderId="0" xfId="0" applyFill="1" applyBorder="1" applyAlignment="1">
      <alignment horizontal="center" vertical="center"/>
    </xf>
    <xf numFmtId="0" fontId="0" fillId="0" borderId="0" xfId="0" applyAlignment="1">
      <alignment horizontal="left" vertical="center"/>
    </xf>
    <xf numFmtId="0" fontId="1" fillId="0" borderId="0" xfId="0" applyFont="1"/>
    <xf numFmtId="0" fontId="0" fillId="3" borderId="0" xfId="0" applyFill="1" applyBorder="1" applyAlignment="1">
      <alignment horizontal="center" vertical="center"/>
    </xf>
    <xf numFmtId="0" fontId="1" fillId="2" borderId="8" xfId="0" applyFont="1" applyFill="1" applyBorder="1"/>
    <xf numFmtId="0" fontId="1" fillId="2" borderId="9" xfId="0" applyFont="1" applyFill="1" applyBorder="1"/>
    <xf numFmtId="0" fontId="0" fillId="0" borderId="3" xfId="0" applyFont="1" applyBorder="1"/>
    <xf numFmtId="0" fontId="0" fillId="0" borderId="4" xfId="0" applyFont="1" applyBorder="1"/>
    <xf numFmtId="0" fontId="0" fillId="0" borderId="0" xfId="0" applyFont="1" applyBorder="1"/>
    <xf numFmtId="0" fontId="0" fillId="0" borderId="10" xfId="0" applyFont="1" applyBorder="1"/>
    <xf numFmtId="0" fontId="0" fillId="0" borderId="11" xfId="0" applyFont="1" applyBorder="1"/>
    <xf numFmtId="0" fontId="0" fillId="0" borderId="12" xfId="0" applyFont="1" applyBorder="1"/>
    <xf numFmtId="0" fontId="0" fillId="0" borderId="3" xfId="0" applyBorder="1"/>
    <xf numFmtId="0" fontId="0" fillId="0" borderId="4" xfId="0" applyBorder="1"/>
    <xf numFmtId="0" fontId="0" fillId="0" borderId="0" xfId="0" applyBorder="1"/>
    <xf numFmtId="0" fontId="0" fillId="0" borderId="10" xfId="0" applyBorder="1"/>
    <xf numFmtId="0" fontId="0" fillId="0" borderId="11" xfId="0" applyBorder="1"/>
    <xf numFmtId="0" fontId="0" fillId="0" borderId="12" xfId="0" applyBorder="1"/>
    <xf numFmtId="0" fontId="1" fillId="2" borderId="13" xfId="0" applyFont="1" applyFill="1" applyBorder="1"/>
    <xf numFmtId="0" fontId="1" fillId="0" borderId="14" xfId="0" applyFont="1" applyBorder="1"/>
    <xf numFmtId="0" fontId="0" fillId="0" borderId="15" xfId="0" applyFont="1" applyBorder="1"/>
    <xf numFmtId="0" fontId="0" fillId="0" borderId="16" xfId="0" applyFont="1" applyBorder="1"/>
    <xf numFmtId="0" fontId="0" fillId="0" borderId="17" xfId="0" applyBorder="1"/>
    <xf numFmtId="0" fontId="0" fillId="0" borderId="15" xfId="0" applyBorder="1"/>
    <xf numFmtId="0" fontId="0" fillId="0" borderId="16" xfId="0" applyBorder="1"/>
    <xf numFmtId="0" fontId="1" fillId="2" borderId="18" xfId="0" applyFont="1" applyFill="1" applyBorder="1"/>
    <xf numFmtId="0" fontId="0" fillId="0" borderId="19" xfId="0" applyFont="1" applyBorder="1"/>
    <xf numFmtId="0" fontId="0" fillId="0" borderId="20" xfId="0" applyFont="1" applyBorder="1"/>
    <xf numFmtId="0" fontId="0" fillId="0" borderId="21" xfId="0" applyFont="1" applyBorder="1"/>
    <xf numFmtId="0" fontId="0" fillId="0" borderId="20" xfId="0" applyBorder="1"/>
    <xf numFmtId="0" fontId="0" fillId="0" borderId="19" xfId="0" applyBorder="1"/>
    <xf numFmtId="0" fontId="0" fillId="0" borderId="21" xfId="0" applyBorder="1"/>
    <xf numFmtId="0" fontId="0" fillId="0" borderId="20" xfId="0" applyBorder="1" applyAlignment="1">
      <alignment vertical="center" wrapText="1"/>
    </xf>
    <xf numFmtId="0" fontId="1" fillId="2" borderId="18" xfId="0" applyFont="1" applyFill="1" applyBorder="1" applyAlignment="1">
      <alignment wrapText="1"/>
    </xf>
    <xf numFmtId="0" fontId="0" fillId="0" borderId="22" xfId="0" applyBorder="1"/>
    <xf numFmtId="0" fontId="0" fillId="0" borderId="1" xfId="0" applyBorder="1"/>
    <xf numFmtId="14" fontId="0" fillId="0" borderId="22" xfId="0" applyNumberFormat="1" applyBorder="1"/>
    <xf numFmtId="0" fontId="0" fillId="0" borderId="23" xfId="0" applyBorder="1"/>
    <xf numFmtId="0" fontId="0" fillId="0" borderId="24" xfId="0" applyBorder="1"/>
    <xf numFmtId="0" fontId="0" fillId="0" borderId="6" xfId="0" applyBorder="1"/>
    <xf numFmtId="0" fontId="0" fillId="0" borderId="25" xfId="0" applyBorder="1"/>
    <xf numFmtId="0" fontId="0" fillId="0" borderId="26"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Estimated Time</c:v>
          </c:tx>
          <c:xVal>
            <c:numRef>
              <c:f>'Burndown Chart'!$A$2:$A$9</c:f>
              <c:numCache>
                <c:formatCode>General</c:formatCode>
                <c:ptCount val="8"/>
                <c:pt idx="0">
                  <c:v>1</c:v>
                </c:pt>
                <c:pt idx="1">
                  <c:v>5</c:v>
                </c:pt>
                <c:pt idx="2">
                  <c:v>10</c:v>
                </c:pt>
                <c:pt idx="3">
                  <c:v>15</c:v>
                </c:pt>
                <c:pt idx="4">
                  <c:v>20</c:v>
                </c:pt>
                <c:pt idx="5">
                  <c:v>25</c:v>
                </c:pt>
                <c:pt idx="6">
                  <c:v>30</c:v>
                </c:pt>
                <c:pt idx="7">
                  <c:v>35</c:v>
                </c:pt>
              </c:numCache>
            </c:numRef>
          </c:xVal>
          <c:yVal>
            <c:numRef>
              <c:f>'Burndown Chart'!$B$2:$B$9</c:f>
              <c:numCache>
                <c:formatCode>General</c:formatCode>
                <c:ptCount val="8"/>
                <c:pt idx="0">
                  <c:v>188.6</c:v>
                </c:pt>
                <c:pt idx="1">
                  <c:v>161.65719999999999</c:v>
                </c:pt>
                <c:pt idx="2">
                  <c:v>134.71440000000001</c:v>
                </c:pt>
                <c:pt idx="3">
                  <c:v>107.77160000000001</c:v>
                </c:pt>
                <c:pt idx="4">
                  <c:v>80.828800000000001</c:v>
                </c:pt>
                <c:pt idx="5">
                  <c:v>53.886000000000003</c:v>
                </c:pt>
                <c:pt idx="6">
                  <c:v>26.943200000000001</c:v>
                </c:pt>
                <c:pt idx="7">
                  <c:v>0</c:v>
                </c:pt>
              </c:numCache>
            </c:numRef>
          </c:yVal>
          <c:smooth val="1"/>
        </c:ser>
        <c:ser>
          <c:idx val="1"/>
          <c:order val="1"/>
          <c:tx>
            <c:v>Actual time</c:v>
          </c:tx>
          <c:xVal>
            <c:numRef>
              <c:f>'Burndown Chart'!$A$2:$A$9</c:f>
              <c:numCache>
                <c:formatCode>General</c:formatCode>
                <c:ptCount val="8"/>
                <c:pt idx="0">
                  <c:v>1</c:v>
                </c:pt>
                <c:pt idx="1">
                  <c:v>5</c:v>
                </c:pt>
                <c:pt idx="2">
                  <c:v>10</c:v>
                </c:pt>
                <c:pt idx="3">
                  <c:v>15</c:v>
                </c:pt>
                <c:pt idx="4">
                  <c:v>20</c:v>
                </c:pt>
                <c:pt idx="5">
                  <c:v>25</c:v>
                </c:pt>
                <c:pt idx="6">
                  <c:v>30</c:v>
                </c:pt>
                <c:pt idx="7">
                  <c:v>35</c:v>
                </c:pt>
              </c:numCache>
            </c:numRef>
          </c:xVal>
          <c:yVal>
            <c:numRef>
              <c:f>'Burndown Chart'!$C$2:$C$9</c:f>
              <c:numCache>
                <c:formatCode>General</c:formatCode>
                <c:ptCount val="8"/>
                <c:pt idx="0">
                  <c:v>129</c:v>
                </c:pt>
                <c:pt idx="1">
                  <c:v>126</c:v>
                </c:pt>
                <c:pt idx="2">
                  <c:v>106</c:v>
                </c:pt>
                <c:pt idx="3">
                  <c:v>89</c:v>
                </c:pt>
                <c:pt idx="4">
                  <c:v>77</c:v>
                </c:pt>
                <c:pt idx="5">
                  <c:v>61</c:v>
                </c:pt>
                <c:pt idx="6">
                  <c:v>45</c:v>
                </c:pt>
                <c:pt idx="7">
                  <c:v>0</c:v>
                </c:pt>
              </c:numCache>
            </c:numRef>
          </c:yVal>
          <c:smooth val="1"/>
        </c:ser>
        <c:dLbls>
          <c:showLegendKey val="0"/>
          <c:showVal val="0"/>
          <c:showCatName val="0"/>
          <c:showSerName val="0"/>
          <c:showPercent val="0"/>
          <c:showBubbleSize val="0"/>
        </c:dLbls>
        <c:axId val="107505536"/>
        <c:axId val="107507072"/>
      </c:scatterChart>
      <c:valAx>
        <c:axId val="107505536"/>
        <c:scaling>
          <c:orientation val="minMax"/>
        </c:scaling>
        <c:delete val="0"/>
        <c:axPos val="b"/>
        <c:numFmt formatCode="General" sourceLinked="1"/>
        <c:majorTickMark val="out"/>
        <c:minorTickMark val="none"/>
        <c:tickLblPos val="nextTo"/>
        <c:crossAx val="107507072"/>
        <c:crosses val="autoZero"/>
        <c:crossBetween val="midCat"/>
      </c:valAx>
      <c:valAx>
        <c:axId val="107507072"/>
        <c:scaling>
          <c:orientation val="minMax"/>
        </c:scaling>
        <c:delete val="0"/>
        <c:axPos val="l"/>
        <c:majorGridlines/>
        <c:numFmt formatCode="General" sourceLinked="1"/>
        <c:majorTickMark val="out"/>
        <c:minorTickMark val="none"/>
        <c:tickLblPos val="nextTo"/>
        <c:crossAx val="107505536"/>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104774</xdr:colOff>
      <xdr:row>2</xdr:row>
      <xdr:rowOff>95250</xdr:rowOff>
    </xdr:from>
    <xdr:to>
      <xdr:col>14</xdr:col>
      <xdr:colOff>361949</xdr:colOff>
      <xdr:row>20</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zoomScale="70" zoomScaleNormal="70" workbookViewId="0">
      <selection activeCell="H7" sqref="H7"/>
    </sheetView>
  </sheetViews>
  <sheetFormatPr defaultRowHeight="15" x14ac:dyDescent="0.25"/>
  <cols>
    <col min="1" max="1" width="7" customWidth="1"/>
    <col min="2" max="2" width="15.7109375" customWidth="1"/>
    <col min="3" max="3" width="23.85546875" customWidth="1"/>
    <col min="4" max="4" width="10.85546875" customWidth="1"/>
    <col min="5" max="5" width="34.140625" customWidth="1"/>
    <col min="6" max="6" width="21.5703125" customWidth="1"/>
    <col min="7" max="7" width="60.5703125" customWidth="1"/>
    <col min="8" max="8" width="42.5703125" customWidth="1"/>
    <col min="10" max="10" width="13.5703125" customWidth="1"/>
    <col min="11" max="11" width="11.42578125" customWidth="1"/>
  </cols>
  <sheetData>
    <row r="1" spans="1:12" ht="45.95" customHeight="1" x14ac:dyDescent="0.25">
      <c r="A1" s="17" t="s">
        <v>2</v>
      </c>
      <c r="B1" s="17" t="s">
        <v>63</v>
      </c>
      <c r="C1" s="18" t="s">
        <v>3</v>
      </c>
      <c r="D1" s="19" t="s">
        <v>4</v>
      </c>
      <c r="E1" s="19" t="s">
        <v>5</v>
      </c>
      <c r="F1" s="19" t="s">
        <v>6</v>
      </c>
      <c r="G1" s="19" t="s">
        <v>64</v>
      </c>
      <c r="H1" s="19" t="s">
        <v>65</v>
      </c>
      <c r="I1" s="17" t="s">
        <v>7</v>
      </c>
      <c r="J1" s="20" t="s">
        <v>66</v>
      </c>
      <c r="K1" s="20" t="s">
        <v>8</v>
      </c>
      <c r="L1" s="20" t="s">
        <v>67</v>
      </c>
    </row>
    <row r="2" spans="1:12" ht="174.75" customHeight="1" x14ac:dyDescent="0.25">
      <c r="A2" s="1">
        <v>6</v>
      </c>
      <c r="B2" s="1" t="s">
        <v>68</v>
      </c>
      <c r="C2" s="21" t="s">
        <v>9</v>
      </c>
      <c r="D2" s="9" t="s">
        <v>10</v>
      </c>
      <c r="E2" s="9" t="s">
        <v>11</v>
      </c>
      <c r="F2" s="9" t="s">
        <v>12</v>
      </c>
      <c r="G2" s="9" t="s">
        <v>84</v>
      </c>
      <c r="H2" s="9"/>
      <c r="I2" s="1">
        <v>1</v>
      </c>
      <c r="J2" s="1"/>
      <c r="K2" s="1">
        <v>8</v>
      </c>
      <c r="L2" s="1"/>
    </row>
    <row r="3" spans="1:12" ht="107.25" customHeight="1" x14ac:dyDescent="0.25">
      <c r="A3" s="1">
        <v>10</v>
      </c>
      <c r="B3" s="1" t="s">
        <v>1</v>
      </c>
      <c r="C3" s="21" t="s">
        <v>13</v>
      </c>
      <c r="D3" s="9" t="s">
        <v>10</v>
      </c>
      <c r="E3" s="9" t="s">
        <v>14</v>
      </c>
      <c r="F3" s="9" t="s">
        <v>15</v>
      </c>
      <c r="G3" s="9" t="s">
        <v>86</v>
      </c>
      <c r="H3" s="9" t="s">
        <v>85</v>
      </c>
      <c r="I3" s="1">
        <v>2</v>
      </c>
      <c r="J3" s="1"/>
      <c r="K3" s="1">
        <v>12</v>
      </c>
      <c r="L3" s="1"/>
    </row>
    <row r="4" spans="1:12" ht="33" customHeight="1" x14ac:dyDescent="0.25">
      <c r="A4" s="1">
        <v>10</v>
      </c>
      <c r="B4" s="1" t="s">
        <v>1</v>
      </c>
      <c r="C4" s="21" t="s">
        <v>16</v>
      </c>
      <c r="D4" s="9" t="s">
        <v>10</v>
      </c>
      <c r="E4" s="9" t="s">
        <v>17</v>
      </c>
      <c r="F4" s="9" t="s">
        <v>18</v>
      </c>
      <c r="G4" s="9"/>
      <c r="H4" s="9"/>
      <c r="I4" s="1">
        <v>2</v>
      </c>
      <c r="J4" s="1"/>
      <c r="K4" s="1">
        <v>4</v>
      </c>
      <c r="L4" s="1"/>
    </row>
    <row r="5" spans="1:12" ht="33" customHeight="1" x14ac:dyDescent="0.25">
      <c r="A5" s="1">
        <v>10</v>
      </c>
      <c r="B5" s="1" t="s">
        <v>1</v>
      </c>
      <c r="C5" s="21" t="s">
        <v>19</v>
      </c>
      <c r="D5" s="9" t="s">
        <v>10</v>
      </c>
      <c r="E5" s="9" t="s">
        <v>20</v>
      </c>
      <c r="F5" s="9" t="s">
        <v>21</v>
      </c>
      <c r="G5" s="9"/>
      <c r="H5" s="9"/>
      <c r="I5" s="1">
        <v>2</v>
      </c>
      <c r="J5" s="1"/>
      <c r="K5" s="1">
        <v>4</v>
      </c>
      <c r="L5" s="1"/>
    </row>
    <row r="6" spans="1:12" ht="33" customHeight="1" x14ac:dyDescent="0.25">
      <c r="A6" s="1">
        <v>11</v>
      </c>
      <c r="B6" s="1" t="s">
        <v>0</v>
      </c>
      <c r="C6" s="21" t="s">
        <v>22</v>
      </c>
      <c r="D6" s="9" t="s">
        <v>10</v>
      </c>
      <c r="E6" s="9" t="s">
        <v>23</v>
      </c>
      <c r="F6" s="9" t="s">
        <v>24</v>
      </c>
      <c r="G6" s="9"/>
      <c r="H6" s="9"/>
      <c r="I6" s="1">
        <v>4</v>
      </c>
      <c r="J6" s="1"/>
      <c r="K6" s="1">
        <v>12</v>
      </c>
      <c r="L6" s="1"/>
    </row>
    <row r="7" spans="1:12" ht="33" customHeight="1" x14ac:dyDescent="0.25">
      <c r="A7" s="1">
        <v>11</v>
      </c>
      <c r="B7" s="1" t="s">
        <v>0</v>
      </c>
      <c r="C7" s="21" t="s">
        <v>25</v>
      </c>
      <c r="D7" s="9" t="s">
        <v>10</v>
      </c>
      <c r="E7" s="9" t="s">
        <v>26</v>
      </c>
      <c r="F7" s="9" t="s">
        <v>27</v>
      </c>
      <c r="G7" s="9"/>
      <c r="H7" s="9"/>
      <c r="I7" s="1">
        <v>4</v>
      </c>
      <c r="J7" s="1"/>
      <c r="K7" s="1">
        <v>4</v>
      </c>
      <c r="L7" s="1"/>
    </row>
    <row r="8" spans="1:12" ht="33" customHeight="1" x14ac:dyDescent="0.25">
      <c r="A8" s="1">
        <v>11</v>
      </c>
      <c r="B8" s="1" t="s">
        <v>0</v>
      </c>
      <c r="C8" s="21" t="s">
        <v>28</v>
      </c>
      <c r="D8" s="9" t="s">
        <v>10</v>
      </c>
      <c r="E8" s="9" t="s">
        <v>29</v>
      </c>
      <c r="F8" s="9" t="s">
        <v>30</v>
      </c>
      <c r="G8" s="9"/>
      <c r="H8" s="9"/>
      <c r="I8" s="1">
        <v>4</v>
      </c>
      <c r="J8" s="1"/>
      <c r="K8" s="1">
        <v>4</v>
      </c>
      <c r="L8" s="1"/>
    </row>
    <row r="9" spans="1:12" ht="33" customHeight="1" x14ac:dyDescent="0.25">
      <c r="A9" s="1">
        <v>8</v>
      </c>
      <c r="B9" s="1" t="s">
        <v>69</v>
      </c>
      <c r="C9" s="21" t="s">
        <v>31</v>
      </c>
      <c r="D9" s="9" t="s">
        <v>10</v>
      </c>
      <c r="E9" s="9" t="s">
        <v>32</v>
      </c>
      <c r="F9" s="9" t="s">
        <v>33</v>
      </c>
      <c r="G9" s="9"/>
      <c r="H9" s="9"/>
      <c r="I9" s="1">
        <v>5</v>
      </c>
      <c r="J9" s="1"/>
      <c r="K9" s="1">
        <v>12</v>
      </c>
      <c r="L9" s="1"/>
    </row>
    <row r="10" spans="1:12" ht="33" customHeight="1" x14ac:dyDescent="0.25">
      <c r="A10" s="1">
        <v>9</v>
      </c>
      <c r="B10" s="1" t="s">
        <v>69</v>
      </c>
      <c r="C10" s="21" t="s">
        <v>34</v>
      </c>
      <c r="D10" s="9" t="s">
        <v>10</v>
      </c>
      <c r="E10" s="9" t="s">
        <v>35</v>
      </c>
      <c r="F10" s="9" t="s">
        <v>36</v>
      </c>
      <c r="G10" s="9"/>
      <c r="H10" s="9"/>
      <c r="I10" s="1">
        <v>6</v>
      </c>
      <c r="J10" s="1"/>
      <c r="K10" s="1">
        <v>12</v>
      </c>
      <c r="L10" s="1"/>
    </row>
    <row r="11" spans="1:12" ht="33" customHeight="1" x14ac:dyDescent="0.25">
      <c r="A11" s="1">
        <v>12</v>
      </c>
      <c r="B11" s="1" t="s">
        <v>70</v>
      </c>
      <c r="C11" s="21" t="s">
        <v>71</v>
      </c>
      <c r="D11" s="9" t="s">
        <v>10</v>
      </c>
      <c r="E11" s="9" t="s">
        <v>38</v>
      </c>
      <c r="F11" s="9" t="s">
        <v>39</v>
      </c>
      <c r="G11" s="9"/>
      <c r="H11" s="9"/>
      <c r="I11" s="1">
        <v>7</v>
      </c>
      <c r="J11" s="1"/>
      <c r="K11" s="1">
        <v>12</v>
      </c>
      <c r="L11" s="1"/>
    </row>
    <row r="12" spans="1:12" ht="33" customHeight="1" x14ac:dyDescent="0.25">
      <c r="A12" s="1">
        <v>13</v>
      </c>
      <c r="B12" s="1" t="s">
        <v>70</v>
      </c>
      <c r="C12" s="21" t="s">
        <v>72</v>
      </c>
      <c r="D12" s="9" t="s">
        <v>10</v>
      </c>
      <c r="E12" s="9" t="s">
        <v>41</v>
      </c>
      <c r="F12" s="9" t="s">
        <v>42</v>
      </c>
      <c r="G12" s="9"/>
      <c r="H12" s="9"/>
      <c r="I12" s="1">
        <v>8</v>
      </c>
      <c r="J12" s="1"/>
      <c r="K12" s="1">
        <v>12</v>
      </c>
      <c r="L12" s="1"/>
    </row>
    <row r="13" spans="1:12" ht="33" customHeight="1" x14ac:dyDescent="0.25">
      <c r="A13" s="1">
        <v>27</v>
      </c>
      <c r="B13" s="1" t="s">
        <v>69</v>
      </c>
      <c r="C13" s="21" t="s">
        <v>73</v>
      </c>
      <c r="D13" s="9" t="s">
        <v>10</v>
      </c>
      <c r="E13" s="9" t="s">
        <v>44</v>
      </c>
      <c r="F13" s="9" t="s">
        <v>45</v>
      </c>
      <c r="G13" s="9"/>
      <c r="H13" s="9"/>
      <c r="I13" s="1">
        <v>9</v>
      </c>
      <c r="J13" s="1"/>
      <c r="K13" s="1">
        <v>12</v>
      </c>
      <c r="L13" s="1"/>
    </row>
    <row r="14" spans="1:12" ht="33" customHeight="1" x14ac:dyDescent="0.25">
      <c r="A14" s="1">
        <v>15</v>
      </c>
      <c r="B14" s="1" t="s">
        <v>70</v>
      </c>
      <c r="C14" s="21" t="s">
        <v>74</v>
      </c>
      <c r="D14" s="9" t="s">
        <v>47</v>
      </c>
      <c r="E14" s="9" t="s">
        <v>38</v>
      </c>
      <c r="F14" s="9" t="s">
        <v>48</v>
      </c>
      <c r="G14" s="9"/>
      <c r="H14" s="9"/>
      <c r="I14" s="1">
        <v>10</v>
      </c>
      <c r="J14" s="1"/>
      <c r="K14" s="1">
        <v>4</v>
      </c>
      <c r="L14" s="1"/>
    </row>
    <row r="15" spans="1:12" ht="146.25" customHeight="1" x14ac:dyDescent="0.25">
      <c r="A15" s="1">
        <v>17</v>
      </c>
      <c r="B15" s="1" t="s">
        <v>75</v>
      </c>
      <c r="C15" s="21" t="s">
        <v>49</v>
      </c>
      <c r="D15" s="9" t="s">
        <v>47</v>
      </c>
      <c r="E15" s="9" t="s">
        <v>50</v>
      </c>
      <c r="F15" s="9" t="s">
        <v>51</v>
      </c>
      <c r="G15" s="9"/>
      <c r="H15" s="9" t="s">
        <v>81</v>
      </c>
      <c r="I15" s="1">
        <v>11</v>
      </c>
      <c r="J15" s="1"/>
      <c r="K15" s="1">
        <v>8</v>
      </c>
      <c r="L15" s="1"/>
    </row>
    <row r="16" spans="1:12" ht="33" customHeight="1" x14ac:dyDescent="0.25">
      <c r="A16" s="1">
        <v>17</v>
      </c>
      <c r="B16" s="1" t="s">
        <v>75</v>
      </c>
      <c r="C16" s="21" t="s">
        <v>52</v>
      </c>
      <c r="D16" s="9" t="s">
        <v>47</v>
      </c>
      <c r="E16" s="9" t="s">
        <v>53</v>
      </c>
      <c r="F16" s="9" t="s">
        <v>48</v>
      </c>
      <c r="G16" s="9"/>
      <c r="H16" s="9"/>
      <c r="I16" s="1">
        <v>12</v>
      </c>
      <c r="J16" s="1"/>
      <c r="K16" s="1">
        <v>4</v>
      </c>
      <c r="L16" s="1"/>
    </row>
    <row r="17" spans="1:12" ht="33" customHeight="1" x14ac:dyDescent="0.25">
      <c r="A17" s="1">
        <v>18</v>
      </c>
      <c r="B17" s="1" t="s">
        <v>68</v>
      </c>
      <c r="C17" s="21" t="s">
        <v>54</v>
      </c>
      <c r="D17" s="9" t="s">
        <v>55</v>
      </c>
      <c r="E17" s="9" t="s">
        <v>11</v>
      </c>
      <c r="F17" s="9" t="s">
        <v>56</v>
      </c>
      <c r="G17" s="9"/>
      <c r="H17" s="9"/>
      <c r="I17" s="1">
        <v>14</v>
      </c>
      <c r="J17" s="1"/>
      <c r="K17" s="1">
        <v>2</v>
      </c>
      <c r="L17" s="1"/>
    </row>
    <row r="18" spans="1:12" ht="33" customHeight="1" x14ac:dyDescent="0.25">
      <c r="A18" s="1">
        <v>22</v>
      </c>
      <c r="B18" s="1" t="s">
        <v>70</v>
      </c>
      <c r="C18" s="21" t="s">
        <v>76</v>
      </c>
      <c r="D18" s="9" t="s">
        <v>55</v>
      </c>
      <c r="E18" s="9" t="s">
        <v>38</v>
      </c>
      <c r="F18" s="9" t="s">
        <v>48</v>
      </c>
      <c r="G18" s="9"/>
      <c r="H18" s="9"/>
      <c r="I18" s="1">
        <v>15</v>
      </c>
      <c r="J18" s="1"/>
      <c r="K18" s="1">
        <v>2</v>
      </c>
      <c r="L18" s="1"/>
    </row>
    <row r="19" spans="1:12" ht="33" customHeight="1" x14ac:dyDescent="0.25">
      <c r="A19" s="1"/>
      <c r="B19" s="1" t="s">
        <v>77</v>
      </c>
      <c r="C19" s="21" t="s">
        <v>78</v>
      </c>
      <c r="D19" s="9"/>
      <c r="E19" s="9" t="s">
        <v>79</v>
      </c>
      <c r="F19" s="9"/>
      <c r="G19" s="9"/>
      <c r="H19" s="9"/>
      <c r="I19" s="1"/>
      <c r="J19" s="1"/>
      <c r="K19" s="1">
        <v>4</v>
      </c>
      <c r="L19" s="1"/>
    </row>
    <row r="20" spans="1:12" ht="33" customHeight="1" x14ac:dyDescent="0.25">
      <c r="A20" s="1"/>
      <c r="B20" s="1" t="s">
        <v>77</v>
      </c>
      <c r="C20" s="21"/>
      <c r="D20" s="9"/>
      <c r="E20" s="9"/>
      <c r="F20" s="9"/>
      <c r="G20" s="9"/>
      <c r="H20" s="9"/>
      <c r="I20" s="1"/>
      <c r="J20" s="1"/>
      <c r="K20" s="1"/>
      <c r="L20" s="1"/>
    </row>
    <row r="21" spans="1:12" ht="33" customHeight="1" x14ac:dyDescent="0.25">
      <c r="A21" s="1"/>
      <c r="B21" s="1" t="s">
        <v>77</v>
      </c>
      <c r="C21" s="21"/>
      <c r="D21" s="9"/>
      <c r="E21" s="9"/>
      <c r="F21" s="9"/>
      <c r="G21" s="9"/>
      <c r="H21" s="9"/>
      <c r="I21" s="1"/>
      <c r="J21" s="1"/>
      <c r="K21" s="1"/>
      <c r="L21" s="1"/>
    </row>
    <row r="22" spans="1:12" ht="33" customHeight="1" x14ac:dyDescent="0.25">
      <c r="A22" s="1"/>
      <c r="B22" s="1" t="s">
        <v>80</v>
      </c>
      <c r="C22" s="21"/>
      <c r="D22" s="9"/>
      <c r="E22" s="9"/>
      <c r="F22" s="9"/>
      <c r="G22" s="9"/>
      <c r="H22" s="9"/>
      <c r="I22" s="1"/>
      <c r="J22" s="1"/>
      <c r="K22" s="1"/>
      <c r="L22" s="1"/>
    </row>
    <row r="23" spans="1:12" ht="33" customHeight="1" x14ac:dyDescent="0.25">
      <c r="A23" s="1"/>
      <c r="B23" s="1" t="s">
        <v>80</v>
      </c>
      <c r="C23" s="21"/>
      <c r="D23" s="9"/>
      <c r="E23" s="9"/>
      <c r="F23" s="9"/>
      <c r="G23" s="9"/>
      <c r="H23" s="9"/>
      <c r="I23" s="1"/>
      <c r="J23" s="1"/>
      <c r="K23" s="1"/>
      <c r="L23" s="1"/>
    </row>
    <row r="24" spans="1:12" ht="21.95" customHeight="1" x14ac:dyDescent="0.25">
      <c r="A24" s="25"/>
      <c r="B24" s="25"/>
      <c r="C24" s="25"/>
      <c r="D24" s="25"/>
      <c r="E24" s="25"/>
      <c r="F24" s="25"/>
      <c r="G24" s="25"/>
      <c r="H24" s="25"/>
      <c r="I24" s="25"/>
      <c r="J24" s="25"/>
      <c r="K24" s="25"/>
      <c r="L24" s="22"/>
    </row>
    <row r="25" spans="1:12" x14ac:dyDescent="0.25">
      <c r="A25" s="14"/>
      <c r="B25" s="14"/>
      <c r="C25" s="23"/>
      <c r="I25" s="14"/>
      <c r="J25" s="14"/>
      <c r="K25" s="14"/>
      <c r="L25" s="14"/>
    </row>
    <row r="26" spans="1:12" x14ac:dyDescent="0.25">
      <c r="A26" s="14"/>
      <c r="B26" s="14" t="s">
        <v>82</v>
      </c>
      <c r="C26" s="23" t="s">
        <v>83</v>
      </c>
      <c r="J26" s="13" t="s">
        <v>61</v>
      </c>
      <c r="K26" s="14">
        <f>SUM(K2:K23)</f>
        <v>132</v>
      </c>
      <c r="L26" s="14">
        <f>SUM(L2:L23)</f>
        <v>0</v>
      </c>
    </row>
    <row r="27" spans="1:12" x14ac:dyDescent="0.25">
      <c r="A27" s="14"/>
      <c r="B27" s="14"/>
      <c r="C27" s="23"/>
      <c r="J27" s="14"/>
      <c r="K27" s="14"/>
      <c r="L27" s="14"/>
    </row>
    <row r="28" spans="1:12" x14ac:dyDescent="0.25">
      <c r="A28" s="14"/>
      <c r="B28" s="14"/>
      <c r="C28" s="23"/>
      <c r="J28" s="13" t="s">
        <v>62</v>
      </c>
      <c r="K28" s="15">
        <f>(K26/0.7)</f>
        <v>188.57142857142858</v>
      </c>
      <c r="L28" s="15"/>
    </row>
    <row r="29" spans="1:12" x14ac:dyDescent="0.25">
      <c r="A29" s="14"/>
      <c r="B29" s="14"/>
      <c r="C29" s="23"/>
      <c r="I29" s="14"/>
      <c r="J29" s="14"/>
      <c r="K29" s="14"/>
      <c r="L29" s="14"/>
    </row>
    <row r="30" spans="1:12" x14ac:dyDescent="0.25">
      <c r="A30" s="14"/>
      <c r="B30" s="14"/>
      <c r="C30" s="23"/>
      <c r="I30" s="16" t="s">
        <v>88</v>
      </c>
      <c r="J30" s="14">
        <f>(4*(20*2)*0.7)</f>
        <v>112</v>
      </c>
      <c r="K30" s="14"/>
      <c r="L30" s="14"/>
    </row>
    <row r="31" spans="1:12" x14ac:dyDescent="0.25">
      <c r="A31" s="14"/>
      <c r="B31" s="14"/>
      <c r="C31" s="23"/>
      <c r="I31" s="16"/>
      <c r="J31" s="14"/>
      <c r="K31" s="14"/>
      <c r="L31" s="14"/>
    </row>
    <row r="32" spans="1:12" x14ac:dyDescent="0.25">
      <c r="A32" s="14"/>
      <c r="B32" s="14"/>
      <c r="C32" s="23"/>
      <c r="I32" s="16" t="s">
        <v>89</v>
      </c>
      <c r="J32" s="14">
        <f>(3*(20*2)*0.7)</f>
        <v>84</v>
      </c>
      <c r="K32" s="14"/>
      <c r="L32" s="14"/>
    </row>
  </sheetData>
  <mergeCells count="1">
    <mergeCell ref="A24:K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opLeftCell="C2" workbookViewId="0">
      <selection activeCell="H23" sqref="H23"/>
    </sheetView>
  </sheetViews>
  <sheetFormatPr defaultRowHeight="15" x14ac:dyDescent="0.25"/>
  <cols>
    <col min="1" max="1" width="7.140625" customWidth="1"/>
    <col min="2" max="2" width="24.85546875" customWidth="1"/>
    <col min="3" max="3" width="13.42578125" customWidth="1"/>
    <col min="4" max="4" width="38.42578125" customWidth="1"/>
    <col min="5" max="5" width="66.140625" customWidth="1"/>
    <col min="7" max="7" width="12.85546875" customWidth="1"/>
  </cols>
  <sheetData>
    <row r="1" spans="1:7" ht="22.5" customHeight="1" x14ac:dyDescent="0.25">
      <c r="A1" s="2" t="s">
        <v>2</v>
      </c>
      <c r="B1" s="3" t="s">
        <v>3</v>
      </c>
      <c r="C1" s="4" t="s">
        <v>4</v>
      </c>
      <c r="D1" s="4" t="s">
        <v>5</v>
      </c>
      <c r="E1" s="4" t="s">
        <v>6</v>
      </c>
      <c r="F1" s="5" t="s">
        <v>7</v>
      </c>
      <c r="G1" s="6" t="s">
        <v>8</v>
      </c>
    </row>
    <row r="2" spans="1:7" ht="40.5" customHeight="1" x14ac:dyDescent="0.25">
      <c r="A2" s="7">
        <v>6</v>
      </c>
      <c r="B2" s="8" t="s">
        <v>9</v>
      </c>
      <c r="C2" s="9" t="s">
        <v>10</v>
      </c>
      <c r="D2" s="9" t="s">
        <v>11</v>
      </c>
      <c r="E2" s="10" t="s">
        <v>12</v>
      </c>
      <c r="F2" s="11">
        <v>1</v>
      </c>
      <c r="G2" s="12">
        <v>8</v>
      </c>
    </row>
    <row r="3" spans="1:7" ht="40.5" customHeight="1" x14ac:dyDescent="0.25">
      <c r="A3" s="7">
        <v>10</v>
      </c>
      <c r="B3" s="8" t="s">
        <v>13</v>
      </c>
      <c r="C3" s="9" t="s">
        <v>10</v>
      </c>
      <c r="D3" s="9" t="s">
        <v>14</v>
      </c>
      <c r="E3" s="10" t="s">
        <v>15</v>
      </c>
      <c r="F3" s="11">
        <v>2</v>
      </c>
      <c r="G3" s="12">
        <v>12</v>
      </c>
    </row>
    <row r="4" spans="1:7" ht="40.5" customHeight="1" x14ac:dyDescent="0.25">
      <c r="A4" s="7">
        <v>10</v>
      </c>
      <c r="B4" s="8" t="s">
        <v>16</v>
      </c>
      <c r="C4" s="9" t="s">
        <v>10</v>
      </c>
      <c r="D4" s="9" t="s">
        <v>17</v>
      </c>
      <c r="E4" s="10" t="s">
        <v>18</v>
      </c>
      <c r="F4" s="11">
        <v>2</v>
      </c>
      <c r="G4" s="12">
        <v>4</v>
      </c>
    </row>
    <row r="5" spans="1:7" ht="40.5" customHeight="1" x14ac:dyDescent="0.25">
      <c r="A5" s="7">
        <v>10</v>
      </c>
      <c r="B5" s="8" t="s">
        <v>19</v>
      </c>
      <c r="C5" s="9" t="s">
        <v>10</v>
      </c>
      <c r="D5" s="9" t="s">
        <v>20</v>
      </c>
      <c r="E5" s="10" t="s">
        <v>21</v>
      </c>
      <c r="F5" s="11">
        <v>2</v>
      </c>
      <c r="G5" s="12">
        <v>4</v>
      </c>
    </row>
    <row r="6" spans="1:7" ht="40.5" customHeight="1" x14ac:dyDescent="0.25">
      <c r="A6" s="7">
        <v>11</v>
      </c>
      <c r="B6" s="8" t="s">
        <v>22</v>
      </c>
      <c r="C6" s="9" t="s">
        <v>10</v>
      </c>
      <c r="D6" s="9" t="s">
        <v>23</v>
      </c>
      <c r="E6" s="10" t="s">
        <v>24</v>
      </c>
      <c r="F6" s="11">
        <v>4</v>
      </c>
      <c r="G6" s="12">
        <v>12</v>
      </c>
    </row>
    <row r="7" spans="1:7" ht="40.5" customHeight="1" x14ac:dyDescent="0.25">
      <c r="A7" s="7">
        <v>11</v>
      </c>
      <c r="B7" s="8" t="s">
        <v>25</v>
      </c>
      <c r="C7" s="9" t="s">
        <v>10</v>
      </c>
      <c r="D7" s="9" t="s">
        <v>26</v>
      </c>
      <c r="E7" s="10" t="s">
        <v>27</v>
      </c>
      <c r="F7" s="11">
        <v>4</v>
      </c>
      <c r="G7" s="12">
        <v>4</v>
      </c>
    </row>
    <row r="8" spans="1:7" ht="40.5" customHeight="1" x14ac:dyDescent="0.25">
      <c r="A8" s="7">
        <v>11</v>
      </c>
      <c r="B8" s="8" t="s">
        <v>28</v>
      </c>
      <c r="C8" s="9" t="s">
        <v>10</v>
      </c>
      <c r="D8" s="9" t="s">
        <v>29</v>
      </c>
      <c r="E8" s="10" t="s">
        <v>30</v>
      </c>
      <c r="F8" s="11">
        <v>4</v>
      </c>
      <c r="G8" s="12">
        <v>4</v>
      </c>
    </row>
    <row r="9" spans="1:7" ht="40.5" customHeight="1" x14ac:dyDescent="0.25">
      <c r="A9" s="7">
        <v>8</v>
      </c>
      <c r="B9" s="8" t="s">
        <v>31</v>
      </c>
      <c r="C9" s="9" t="s">
        <v>10</v>
      </c>
      <c r="D9" s="9" t="s">
        <v>32</v>
      </c>
      <c r="E9" s="10" t="s">
        <v>33</v>
      </c>
      <c r="F9" s="11">
        <v>5</v>
      </c>
      <c r="G9" s="12">
        <v>12</v>
      </c>
    </row>
    <row r="10" spans="1:7" ht="40.5" customHeight="1" x14ac:dyDescent="0.25">
      <c r="A10" s="7">
        <v>9</v>
      </c>
      <c r="B10" s="8" t="s">
        <v>34</v>
      </c>
      <c r="C10" s="9" t="s">
        <v>10</v>
      </c>
      <c r="D10" s="9" t="s">
        <v>35</v>
      </c>
      <c r="E10" s="10" t="s">
        <v>36</v>
      </c>
      <c r="F10" s="11">
        <v>6</v>
      </c>
      <c r="G10" s="12">
        <v>12</v>
      </c>
    </row>
    <row r="11" spans="1:7" ht="40.5" customHeight="1" x14ac:dyDescent="0.25">
      <c r="A11" s="7">
        <v>12</v>
      </c>
      <c r="B11" s="8" t="s">
        <v>37</v>
      </c>
      <c r="C11" s="9" t="s">
        <v>10</v>
      </c>
      <c r="D11" s="9" t="s">
        <v>38</v>
      </c>
      <c r="E11" s="10" t="s">
        <v>39</v>
      </c>
      <c r="F11" s="11">
        <v>7</v>
      </c>
      <c r="G11" s="12">
        <v>12</v>
      </c>
    </row>
    <row r="12" spans="1:7" ht="40.5" customHeight="1" x14ac:dyDescent="0.25">
      <c r="A12" s="7">
        <v>13</v>
      </c>
      <c r="B12" s="8" t="s">
        <v>40</v>
      </c>
      <c r="C12" s="9" t="s">
        <v>10</v>
      </c>
      <c r="D12" s="9" t="s">
        <v>41</v>
      </c>
      <c r="E12" s="10" t="s">
        <v>42</v>
      </c>
      <c r="F12" s="11">
        <v>8</v>
      </c>
      <c r="G12" s="12">
        <v>12</v>
      </c>
    </row>
    <row r="13" spans="1:7" ht="40.5" customHeight="1" x14ac:dyDescent="0.25">
      <c r="A13" s="7">
        <v>27</v>
      </c>
      <c r="B13" s="8" t="s">
        <v>43</v>
      </c>
      <c r="C13" s="9" t="s">
        <v>10</v>
      </c>
      <c r="D13" s="9" t="s">
        <v>44</v>
      </c>
      <c r="E13" s="10" t="s">
        <v>45</v>
      </c>
      <c r="F13" s="11">
        <v>9</v>
      </c>
      <c r="G13" s="12">
        <v>12</v>
      </c>
    </row>
    <row r="14" spans="1:7" ht="40.5" customHeight="1" x14ac:dyDescent="0.25">
      <c r="A14" s="7">
        <v>15</v>
      </c>
      <c r="B14" s="8" t="s">
        <v>46</v>
      </c>
      <c r="C14" s="9" t="s">
        <v>47</v>
      </c>
      <c r="D14" s="9" t="s">
        <v>38</v>
      </c>
      <c r="E14" s="10" t="s">
        <v>48</v>
      </c>
      <c r="F14" s="11">
        <v>10</v>
      </c>
      <c r="G14" s="12">
        <v>4</v>
      </c>
    </row>
    <row r="15" spans="1:7" ht="40.5" customHeight="1" x14ac:dyDescent="0.25">
      <c r="A15" s="7">
        <v>17</v>
      </c>
      <c r="B15" s="8" t="s">
        <v>49</v>
      </c>
      <c r="C15" s="9" t="s">
        <v>47</v>
      </c>
      <c r="D15" s="9" t="s">
        <v>50</v>
      </c>
      <c r="E15" s="10" t="s">
        <v>51</v>
      </c>
      <c r="F15" s="11">
        <v>11</v>
      </c>
      <c r="G15" s="12">
        <v>8</v>
      </c>
    </row>
    <row r="16" spans="1:7" ht="40.5" customHeight="1" x14ac:dyDescent="0.25">
      <c r="A16" s="7">
        <v>17</v>
      </c>
      <c r="B16" s="8" t="s">
        <v>52</v>
      </c>
      <c r="C16" s="9" t="s">
        <v>47</v>
      </c>
      <c r="D16" s="9" t="s">
        <v>53</v>
      </c>
      <c r="E16" s="10" t="s">
        <v>48</v>
      </c>
      <c r="F16" s="11">
        <v>12</v>
      </c>
      <c r="G16" s="12">
        <v>4</v>
      </c>
    </row>
    <row r="17" spans="1:7" ht="40.5" customHeight="1" x14ac:dyDescent="0.25">
      <c r="A17" s="7">
        <v>18</v>
      </c>
      <c r="B17" s="8" t="s">
        <v>54</v>
      </c>
      <c r="C17" s="9" t="s">
        <v>55</v>
      </c>
      <c r="D17" s="9" t="s">
        <v>11</v>
      </c>
      <c r="E17" s="10" t="s">
        <v>56</v>
      </c>
      <c r="F17" s="11">
        <v>14</v>
      </c>
      <c r="G17" s="12">
        <v>2</v>
      </c>
    </row>
    <row r="18" spans="1:7" ht="40.5" customHeight="1" x14ac:dyDescent="0.25">
      <c r="A18" s="7">
        <v>22</v>
      </c>
      <c r="B18" s="8" t="s">
        <v>57</v>
      </c>
      <c r="C18" s="9" t="s">
        <v>55</v>
      </c>
      <c r="D18" s="9" t="s">
        <v>38</v>
      </c>
      <c r="E18" s="10" t="s">
        <v>48</v>
      </c>
      <c r="F18" s="11">
        <v>15</v>
      </c>
      <c r="G18" s="12">
        <v>2</v>
      </c>
    </row>
    <row r="19" spans="1:7" ht="40.5" customHeight="1" x14ac:dyDescent="0.25">
      <c r="A19" s="7">
        <v>19</v>
      </c>
      <c r="B19" s="8" t="s">
        <v>58</v>
      </c>
      <c r="C19" s="9" t="s">
        <v>55</v>
      </c>
      <c r="D19" s="9" t="s">
        <v>59</v>
      </c>
      <c r="E19" s="10" t="s">
        <v>60</v>
      </c>
      <c r="F19" s="11">
        <v>16</v>
      </c>
      <c r="G19" s="12">
        <v>4</v>
      </c>
    </row>
    <row r="21" spans="1:7" x14ac:dyDescent="0.25">
      <c r="F21" s="13" t="s">
        <v>61</v>
      </c>
      <c r="G21" s="14">
        <f>SUM(G2:G19)</f>
        <v>132</v>
      </c>
    </row>
    <row r="22" spans="1:7" x14ac:dyDescent="0.25">
      <c r="F22" s="14"/>
      <c r="G22" s="14"/>
    </row>
    <row r="23" spans="1:7" x14ac:dyDescent="0.25">
      <c r="F23" s="13" t="s">
        <v>62</v>
      </c>
      <c r="G23" s="15">
        <f>(G21/0.7)</f>
        <v>188.57142857142858</v>
      </c>
    </row>
    <row r="24" spans="1:7" x14ac:dyDescent="0.25">
      <c r="F24" s="14"/>
      <c r="G24" s="14"/>
    </row>
    <row r="25" spans="1:7" x14ac:dyDescent="0.25">
      <c r="E25" s="16" t="s">
        <v>90</v>
      </c>
      <c r="F25" s="14">
        <f>(4*(20*8)*0.7)</f>
        <v>448</v>
      </c>
      <c r="G25" s="14"/>
    </row>
    <row r="26" spans="1:7" x14ac:dyDescent="0.25">
      <c r="E26" s="16"/>
      <c r="F26" s="14"/>
      <c r="G26" s="14"/>
    </row>
    <row r="27" spans="1:7" x14ac:dyDescent="0.25">
      <c r="E27" s="16" t="s">
        <v>87</v>
      </c>
      <c r="F27" s="14">
        <f>(3*(20*8)*0.7)</f>
        <v>336</v>
      </c>
      <c r="G27"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tabSelected="1" workbookViewId="0">
      <selection activeCell="F31" sqref="F31"/>
    </sheetView>
  </sheetViews>
  <sheetFormatPr defaultRowHeight="15" x14ac:dyDescent="0.25"/>
  <cols>
    <col min="1" max="1" width="9.7109375" bestFit="1" customWidth="1"/>
    <col min="2" max="2" width="14.85546875" bestFit="1" customWidth="1"/>
    <col min="3" max="3" width="43.85546875" bestFit="1" customWidth="1"/>
  </cols>
  <sheetData>
    <row r="1" spans="1:3" x14ac:dyDescent="0.25">
      <c r="A1" s="24" t="s">
        <v>165</v>
      </c>
      <c r="B1" s="24" t="s">
        <v>166</v>
      </c>
      <c r="C1" s="24" t="s">
        <v>154</v>
      </c>
    </row>
    <row r="2" spans="1:3" x14ac:dyDescent="0.25">
      <c r="A2">
        <v>1</v>
      </c>
      <c r="B2">
        <v>188.6</v>
      </c>
      <c r="C2">
        <v>129</v>
      </c>
    </row>
    <row r="3" spans="1:3" x14ac:dyDescent="0.25">
      <c r="A3">
        <v>5</v>
      </c>
      <c r="B3">
        <v>161.65719999999999</v>
      </c>
      <c r="C3">
        <f>C2-3</f>
        <v>126</v>
      </c>
    </row>
    <row r="4" spans="1:3" x14ac:dyDescent="0.25">
      <c r="A4">
        <v>10</v>
      </c>
      <c r="B4">
        <v>134.71440000000001</v>
      </c>
      <c r="C4">
        <f>C3-20</f>
        <v>106</v>
      </c>
    </row>
    <row r="5" spans="1:3" x14ac:dyDescent="0.25">
      <c r="A5">
        <v>15</v>
      </c>
      <c r="B5">
        <v>107.77160000000001</v>
      </c>
      <c r="C5">
        <f>C4-17</f>
        <v>89</v>
      </c>
    </row>
    <row r="6" spans="1:3" x14ac:dyDescent="0.25">
      <c r="A6">
        <v>20</v>
      </c>
      <c r="B6">
        <v>80.828800000000001</v>
      </c>
      <c r="C6">
        <f>C5 -12</f>
        <v>77</v>
      </c>
    </row>
    <row r="7" spans="1:3" x14ac:dyDescent="0.25">
      <c r="A7">
        <v>25</v>
      </c>
      <c r="B7">
        <v>53.886000000000003</v>
      </c>
      <c r="C7">
        <f>C6-16</f>
        <v>61</v>
      </c>
    </row>
    <row r="8" spans="1:3" x14ac:dyDescent="0.25">
      <c r="A8">
        <v>30</v>
      </c>
      <c r="B8">
        <v>26.943200000000001</v>
      </c>
      <c r="C8">
        <f>C7-16</f>
        <v>45</v>
      </c>
    </row>
    <row r="9" spans="1:3" x14ac:dyDescent="0.25">
      <c r="A9">
        <v>35</v>
      </c>
      <c r="B9">
        <v>0</v>
      </c>
      <c r="C9">
        <f>C8-45</f>
        <v>0</v>
      </c>
    </row>
    <row r="11" spans="1:3" x14ac:dyDescent="0.25">
      <c r="A11" s="61" t="s">
        <v>91</v>
      </c>
      <c r="B11" s="57" t="s">
        <v>208</v>
      </c>
      <c r="C11" s="62" t="s">
        <v>209</v>
      </c>
    </row>
    <row r="12" spans="1:3" x14ac:dyDescent="0.25">
      <c r="A12" s="58">
        <v>41367</v>
      </c>
      <c r="B12" s="51">
        <v>3</v>
      </c>
      <c r="C12" s="44" t="s">
        <v>92</v>
      </c>
    </row>
    <row r="13" spans="1:3" x14ac:dyDescent="0.25">
      <c r="A13" s="58">
        <v>41375</v>
      </c>
      <c r="B13" s="51">
        <v>1</v>
      </c>
      <c r="C13" s="44" t="s">
        <v>93</v>
      </c>
    </row>
    <row r="14" spans="1:3" x14ac:dyDescent="0.25">
      <c r="A14" s="56"/>
      <c r="B14" s="51">
        <v>3</v>
      </c>
      <c r="C14" s="44" t="s">
        <v>207</v>
      </c>
    </row>
    <row r="15" spans="1:3" x14ac:dyDescent="0.25">
      <c r="A15" s="56"/>
      <c r="B15" s="51">
        <v>6</v>
      </c>
      <c r="C15" s="44" t="s">
        <v>94</v>
      </c>
    </row>
    <row r="16" spans="1:3" x14ac:dyDescent="0.25">
      <c r="A16" s="56"/>
      <c r="B16" s="51">
        <v>1</v>
      </c>
      <c r="C16" s="44" t="s">
        <v>95</v>
      </c>
    </row>
    <row r="17" spans="1:3" x14ac:dyDescent="0.25">
      <c r="A17" s="58">
        <v>41377</v>
      </c>
      <c r="B17" s="51">
        <v>1</v>
      </c>
      <c r="C17" s="44" t="s">
        <v>169</v>
      </c>
    </row>
    <row r="18" spans="1:3" x14ac:dyDescent="0.25">
      <c r="A18" s="58">
        <v>41379</v>
      </c>
      <c r="B18" s="51">
        <v>5</v>
      </c>
      <c r="C18" s="44" t="s">
        <v>170</v>
      </c>
    </row>
    <row r="19" spans="1:3" x14ac:dyDescent="0.25">
      <c r="A19" s="58">
        <v>41015</v>
      </c>
      <c r="B19" s="51">
        <v>1</v>
      </c>
      <c r="C19" s="44" t="s">
        <v>172</v>
      </c>
    </row>
    <row r="20" spans="1:3" x14ac:dyDescent="0.25">
      <c r="A20" s="58">
        <v>41383</v>
      </c>
      <c r="B20" s="51">
        <v>1</v>
      </c>
      <c r="C20" s="44" t="s">
        <v>179</v>
      </c>
    </row>
    <row r="21" spans="1:3" x14ac:dyDescent="0.25">
      <c r="A21" s="58">
        <v>41386</v>
      </c>
      <c r="B21" s="51">
        <v>2</v>
      </c>
      <c r="C21" s="44" t="s">
        <v>180</v>
      </c>
    </row>
    <row r="22" spans="1:3" x14ac:dyDescent="0.25">
      <c r="A22" s="56"/>
      <c r="B22" s="51">
        <v>1</v>
      </c>
      <c r="C22" s="44" t="s">
        <v>183</v>
      </c>
    </row>
    <row r="23" spans="1:3" x14ac:dyDescent="0.25">
      <c r="A23" s="58">
        <v>41387</v>
      </c>
      <c r="B23" s="51">
        <v>2</v>
      </c>
      <c r="C23" s="44" t="s">
        <v>185</v>
      </c>
    </row>
    <row r="24" spans="1:3" x14ac:dyDescent="0.25">
      <c r="A24" s="56"/>
      <c r="B24" s="51">
        <v>1</v>
      </c>
      <c r="C24" s="44" t="s">
        <v>186</v>
      </c>
    </row>
    <row r="25" spans="1:3" x14ac:dyDescent="0.25">
      <c r="A25" s="56"/>
      <c r="B25" s="51">
        <v>1</v>
      </c>
      <c r="C25" s="44" t="s">
        <v>187</v>
      </c>
    </row>
    <row r="26" spans="1:3" x14ac:dyDescent="0.25">
      <c r="A26" s="58">
        <v>41392</v>
      </c>
      <c r="B26" s="51">
        <v>1</v>
      </c>
      <c r="C26" s="44" t="s">
        <v>189</v>
      </c>
    </row>
    <row r="27" spans="1:3" x14ac:dyDescent="0.25">
      <c r="A27" s="58">
        <v>41393</v>
      </c>
      <c r="B27" s="51">
        <v>3</v>
      </c>
      <c r="C27" s="44" t="s">
        <v>190</v>
      </c>
    </row>
    <row r="28" spans="1:3" x14ac:dyDescent="0.25">
      <c r="A28" s="56"/>
      <c r="B28" s="51">
        <v>1</v>
      </c>
      <c r="C28" s="44" t="s">
        <v>191</v>
      </c>
    </row>
    <row r="29" spans="1:3" x14ac:dyDescent="0.25">
      <c r="A29" s="58">
        <v>41394</v>
      </c>
      <c r="B29" s="51">
        <v>1</v>
      </c>
      <c r="C29" s="44" t="s">
        <v>193</v>
      </c>
    </row>
    <row r="30" spans="1:3" x14ac:dyDescent="0.25">
      <c r="A30" s="56"/>
      <c r="B30" s="51">
        <v>1</v>
      </c>
      <c r="C30" s="44" t="s">
        <v>194</v>
      </c>
    </row>
    <row r="31" spans="1:3" x14ac:dyDescent="0.25">
      <c r="A31" s="58">
        <v>41397</v>
      </c>
      <c r="B31" s="51">
        <v>2</v>
      </c>
      <c r="C31" s="44" t="s">
        <v>199</v>
      </c>
    </row>
    <row r="32" spans="1:3" x14ac:dyDescent="0.25">
      <c r="A32" s="58">
        <v>41398</v>
      </c>
      <c r="B32" s="51">
        <v>2</v>
      </c>
      <c r="C32" s="44" t="s">
        <v>200</v>
      </c>
    </row>
    <row r="33" spans="1:3" x14ac:dyDescent="0.25">
      <c r="A33" s="56"/>
      <c r="B33" s="51">
        <v>1</v>
      </c>
      <c r="C33" s="44" t="s">
        <v>201</v>
      </c>
    </row>
    <row r="34" spans="1:3" x14ac:dyDescent="0.25">
      <c r="A34" s="58">
        <v>41399</v>
      </c>
      <c r="B34" s="51">
        <v>3</v>
      </c>
      <c r="C34" s="44" t="s">
        <v>202</v>
      </c>
    </row>
    <row r="35" spans="1:3" x14ac:dyDescent="0.25">
      <c r="A35" s="58">
        <v>41400</v>
      </c>
      <c r="B35" s="51">
        <v>3</v>
      </c>
      <c r="C35" s="44" t="s">
        <v>206</v>
      </c>
    </row>
    <row r="36" spans="1:3" x14ac:dyDescent="0.25">
      <c r="A36" s="56"/>
      <c r="B36" s="51"/>
      <c r="C36" s="44"/>
    </row>
    <row r="37" spans="1:3" x14ac:dyDescent="0.25">
      <c r="A37" s="56"/>
      <c r="B37" s="51"/>
      <c r="C37" s="44"/>
    </row>
    <row r="38" spans="1:3" x14ac:dyDescent="0.25">
      <c r="A38" s="61" t="s">
        <v>96</v>
      </c>
      <c r="B38" s="57"/>
      <c r="C38" s="62"/>
    </row>
    <row r="39" spans="1:3" x14ac:dyDescent="0.25">
      <c r="A39" s="58">
        <v>41374</v>
      </c>
      <c r="B39" s="51">
        <v>2</v>
      </c>
      <c r="C39" s="44" t="s">
        <v>167</v>
      </c>
    </row>
    <row r="40" spans="1:3" x14ac:dyDescent="0.25">
      <c r="A40" s="56"/>
      <c r="B40" s="51">
        <v>4</v>
      </c>
      <c r="C40" s="44" t="s">
        <v>97</v>
      </c>
    </row>
    <row r="41" spans="1:3" x14ac:dyDescent="0.25">
      <c r="A41" s="58">
        <v>41381</v>
      </c>
      <c r="B41" s="51">
        <v>1</v>
      </c>
      <c r="C41" s="44" t="s">
        <v>174</v>
      </c>
    </row>
    <row r="42" spans="1:3" x14ac:dyDescent="0.25">
      <c r="A42" s="56"/>
      <c r="B42" s="51">
        <v>2</v>
      </c>
      <c r="C42" s="44" t="s">
        <v>175</v>
      </c>
    </row>
    <row r="43" spans="1:3" x14ac:dyDescent="0.25">
      <c r="A43" s="58">
        <v>41382</v>
      </c>
      <c r="B43" s="51">
        <v>1</v>
      </c>
      <c r="C43" s="44" t="s">
        <v>173</v>
      </c>
    </row>
    <row r="44" spans="1:3" x14ac:dyDescent="0.25">
      <c r="A44" s="56"/>
      <c r="B44" s="51">
        <v>1</v>
      </c>
      <c r="C44" s="44" t="s">
        <v>176</v>
      </c>
    </row>
    <row r="45" spans="1:3" x14ac:dyDescent="0.25">
      <c r="A45" s="56"/>
      <c r="B45" s="51">
        <v>1</v>
      </c>
      <c r="C45" s="44" t="s">
        <v>177</v>
      </c>
    </row>
    <row r="46" spans="1:3" x14ac:dyDescent="0.25">
      <c r="A46" s="58">
        <v>41383</v>
      </c>
      <c r="B46" s="51">
        <v>5</v>
      </c>
      <c r="C46" s="44" t="s">
        <v>178</v>
      </c>
    </row>
    <row r="47" spans="1:3" x14ac:dyDescent="0.25">
      <c r="A47" s="58">
        <v>41386</v>
      </c>
      <c r="B47" s="51">
        <v>1</v>
      </c>
      <c r="C47" s="44" t="s">
        <v>181</v>
      </c>
    </row>
    <row r="48" spans="1:3" x14ac:dyDescent="0.25">
      <c r="A48" s="56"/>
      <c r="B48" s="51">
        <v>1</v>
      </c>
      <c r="C48" s="44" t="s">
        <v>182</v>
      </c>
    </row>
    <row r="49" spans="1:3" x14ac:dyDescent="0.25">
      <c r="A49" s="58">
        <v>41387</v>
      </c>
      <c r="B49" s="51">
        <v>3</v>
      </c>
      <c r="C49" s="44" t="s">
        <v>184</v>
      </c>
    </row>
    <row r="50" spans="1:3" x14ac:dyDescent="0.25">
      <c r="A50" s="58">
        <v>41393</v>
      </c>
      <c r="B50" s="51">
        <v>1</v>
      </c>
      <c r="C50" s="44" t="s">
        <v>192</v>
      </c>
    </row>
    <row r="51" spans="1:3" x14ac:dyDescent="0.25">
      <c r="A51" s="58">
        <v>41394</v>
      </c>
      <c r="B51" s="51">
        <v>1</v>
      </c>
      <c r="C51" s="44" t="s">
        <v>195</v>
      </c>
    </row>
    <row r="52" spans="1:3" x14ac:dyDescent="0.25">
      <c r="A52" s="56"/>
      <c r="B52" s="51">
        <v>2</v>
      </c>
      <c r="C52" s="44" t="s">
        <v>196</v>
      </c>
    </row>
    <row r="53" spans="1:3" x14ac:dyDescent="0.25">
      <c r="A53" s="58">
        <v>41397</v>
      </c>
      <c r="B53" s="51">
        <v>2</v>
      </c>
      <c r="C53" s="44" t="s">
        <v>198</v>
      </c>
    </row>
    <row r="54" spans="1:3" x14ac:dyDescent="0.25">
      <c r="A54" s="58">
        <v>41398</v>
      </c>
      <c r="B54" s="51">
        <v>10</v>
      </c>
      <c r="C54" s="44" t="s">
        <v>148</v>
      </c>
    </row>
    <row r="55" spans="1:3" x14ac:dyDescent="0.25">
      <c r="A55" s="58">
        <v>41399</v>
      </c>
      <c r="B55" s="51">
        <v>3</v>
      </c>
      <c r="C55" s="44" t="s">
        <v>203</v>
      </c>
    </row>
    <row r="56" spans="1:3" x14ac:dyDescent="0.25">
      <c r="A56" s="58">
        <v>41400</v>
      </c>
      <c r="B56" s="51">
        <v>3</v>
      </c>
      <c r="C56" s="44" t="s">
        <v>205</v>
      </c>
    </row>
    <row r="57" spans="1:3" x14ac:dyDescent="0.25">
      <c r="A57" s="56"/>
      <c r="B57" s="51"/>
      <c r="C57" s="44"/>
    </row>
    <row r="58" spans="1:3" x14ac:dyDescent="0.25">
      <c r="A58" s="61" t="s">
        <v>125</v>
      </c>
      <c r="B58" s="57"/>
      <c r="C58" s="62"/>
    </row>
    <row r="59" spans="1:3" x14ac:dyDescent="0.25">
      <c r="A59" s="58">
        <v>41374</v>
      </c>
      <c r="B59" s="51">
        <v>3</v>
      </c>
      <c r="C59" s="44" t="s">
        <v>168</v>
      </c>
    </row>
    <row r="60" spans="1:3" x14ac:dyDescent="0.25">
      <c r="A60" s="58">
        <v>41380</v>
      </c>
      <c r="B60" s="51">
        <v>1</v>
      </c>
      <c r="C60" s="44" t="s">
        <v>171</v>
      </c>
    </row>
    <row r="61" spans="1:3" x14ac:dyDescent="0.25">
      <c r="A61" s="56"/>
      <c r="B61" s="51">
        <v>6</v>
      </c>
      <c r="C61" s="44" t="s">
        <v>13</v>
      </c>
    </row>
    <row r="62" spans="1:3" x14ac:dyDescent="0.25">
      <c r="A62" s="58">
        <v>41389</v>
      </c>
      <c r="B62" s="51">
        <v>4</v>
      </c>
      <c r="C62" s="44" t="s">
        <v>188</v>
      </c>
    </row>
    <row r="63" spans="1:3" x14ac:dyDescent="0.25">
      <c r="A63" s="58">
        <v>41394</v>
      </c>
      <c r="B63" s="51">
        <v>1</v>
      </c>
      <c r="C63" s="44" t="s">
        <v>197</v>
      </c>
    </row>
    <row r="64" spans="1:3" x14ac:dyDescent="0.25">
      <c r="A64" s="56"/>
      <c r="B64" s="51">
        <v>2</v>
      </c>
      <c r="C64" s="44" t="s">
        <v>16</v>
      </c>
    </row>
    <row r="65" spans="1:3" x14ac:dyDescent="0.25">
      <c r="A65" s="56"/>
      <c r="B65" s="51">
        <v>2</v>
      </c>
      <c r="C65" s="44" t="s">
        <v>19</v>
      </c>
    </row>
    <row r="66" spans="1:3" x14ac:dyDescent="0.25">
      <c r="A66" s="58">
        <v>41400</v>
      </c>
      <c r="B66" s="51">
        <v>2</v>
      </c>
      <c r="C66" s="44" t="s">
        <v>112</v>
      </c>
    </row>
    <row r="67" spans="1:3" x14ac:dyDescent="0.25">
      <c r="A67" s="59"/>
      <c r="B67" s="63">
        <v>4</v>
      </c>
      <c r="C67" s="60" t="s">
        <v>204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75"/>
  <sheetViews>
    <sheetView topLeftCell="A34" workbookViewId="0">
      <selection activeCell="B71" sqref="B71"/>
    </sheetView>
  </sheetViews>
  <sheetFormatPr defaultRowHeight="15" x14ac:dyDescent="0.25"/>
  <cols>
    <col min="1" max="1" width="32.7109375" bestFit="1" customWidth="1"/>
    <col min="2" max="2" width="67.7109375" bestFit="1" customWidth="1"/>
    <col min="3" max="3" width="12" customWidth="1"/>
    <col min="4" max="4" width="14.140625" customWidth="1"/>
    <col min="5" max="5" width="8.7109375" customWidth="1"/>
    <col min="6" max="6" width="13.7109375" bestFit="1" customWidth="1"/>
    <col min="7" max="7" width="11.42578125" bestFit="1" customWidth="1"/>
  </cols>
  <sheetData>
    <row r="2" spans="1:7" ht="15.75" thickBot="1" x14ac:dyDescent="0.3"/>
    <row r="3" spans="1:7" ht="35.25" customHeight="1" thickBot="1" x14ac:dyDescent="0.3">
      <c r="A3" s="40" t="s">
        <v>63</v>
      </c>
      <c r="B3" s="47" t="s">
        <v>129</v>
      </c>
      <c r="C3" s="55" t="s">
        <v>119</v>
      </c>
      <c r="D3" s="55" t="s">
        <v>120</v>
      </c>
      <c r="E3" s="26" t="s">
        <v>7</v>
      </c>
      <c r="F3" s="47" t="s">
        <v>153</v>
      </c>
      <c r="G3" s="27" t="s">
        <v>154</v>
      </c>
    </row>
    <row r="4" spans="1:7" x14ac:dyDescent="0.25">
      <c r="A4" s="41" t="s">
        <v>98</v>
      </c>
      <c r="B4" s="48"/>
      <c r="C4" s="48"/>
      <c r="D4" s="48"/>
      <c r="E4" s="28"/>
      <c r="F4" s="48"/>
      <c r="G4" s="29"/>
    </row>
    <row r="5" spans="1:7" x14ac:dyDescent="0.25">
      <c r="A5" s="42"/>
      <c r="B5" s="49" t="s">
        <v>99</v>
      </c>
      <c r="C5" s="49" t="s">
        <v>122</v>
      </c>
      <c r="D5" s="49" t="s">
        <v>159</v>
      </c>
      <c r="E5" s="30">
        <v>1</v>
      </c>
      <c r="F5" s="49">
        <v>2</v>
      </c>
      <c r="G5" s="31">
        <v>3</v>
      </c>
    </row>
    <row r="6" spans="1:7" x14ac:dyDescent="0.25">
      <c r="A6" s="42"/>
      <c r="B6" s="49" t="s">
        <v>100</v>
      </c>
      <c r="C6" s="49" t="s">
        <v>122</v>
      </c>
      <c r="D6" s="49" t="s">
        <v>125</v>
      </c>
      <c r="E6" s="30">
        <v>2</v>
      </c>
      <c r="F6" s="49">
        <v>1</v>
      </c>
      <c r="G6" s="31"/>
    </row>
    <row r="7" spans="1:7" ht="15.75" thickBot="1" x14ac:dyDescent="0.3">
      <c r="A7" s="43"/>
      <c r="B7" s="50" t="s">
        <v>101</v>
      </c>
      <c r="C7" s="50" t="s">
        <v>121</v>
      </c>
      <c r="D7" s="50"/>
      <c r="E7" s="32"/>
      <c r="F7" s="50"/>
      <c r="G7" s="33"/>
    </row>
    <row r="8" spans="1:7" ht="15.75" thickBot="1" x14ac:dyDescent="0.3">
      <c r="A8" s="44"/>
      <c r="B8" s="51"/>
      <c r="C8" s="51"/>
      <c r="D8" s="51"/>
      <c r="F8" s="51"/>
    </row>
    <row r="9" spans="1:7" x14ac:dyDescent="0.25">
      <c r="A9" s="41" t="s">
        <v>102</v>
      </c>
      <c r="B9" s="52"/>
      <c r="C9" s="52"/>
      <c r="D9" s="52"/>
      <c r="E9" s="34"/>
      <c r="F9" s="52"/>
      <c r="G9" s="35"/>
    </row>
    <row r="10" spans="1:7" x14ac:dyDescent="0.25">
      <c r="A10" s="45"/>
      <c r="B10" s="49" t="s">
        <v>155</v>
      </c>
      <c r="C10" s="51" t="s">
        <v>122</v>
      </c>
      <c r="D10" s="51" t="s">
        <v>91</v>
      </c>
      <c r="E10" s="36">
        <v>5</v>
      </c>
      <c r="F10" s="51">
        <v>2</v>
      </c>
      <c r="G10" s="37">
        <v>1</v>
      </c>
    </row>
    <row r="11" spans="1:7" x14ac:dyDescent="0.25">
      <c r="A11" s="45"/>
      <c r="B11" s="49" t="s">
        <v>103</v>
      </c>
      <c r="C11" s="51" t="s">
        <v>122</v>
      </c>
      <c r="D11" s="51" t="s">
        <v>91</v>
      </c>
      <c r="E11" s="36">
        <v>5</v>
      </c>
      <c r="F11" s="51">
        <v>12</v>
      </c>
      <c r="G11" s="37">
        <v>4</v>
      </c>
    </row>
    <row r="12" spans="1:7" ht="15.75" thickBot="1" x14ac:dyDescent="0.3">
      <c r="A12" s="46"/>
      <c r="B12" s="50" t="s">
        <v>104</v>
      </c>
      <c r="C12" s="53" t="s">
        <v>122</v>
      </c>
      <c r="D12" s="53" t="s">
        <v>125</v>
      </c>
      <c r="E12" s="38">
        <v>5</v>
      </c>
      <c r="F12" s="53">
        <v>4</v>
      </c>
      <c r="G12" s="39">
        <v>4</v>
      </c>
    </row>
    <row r="13" spans="1:7" ht="15.75" thickBot="1" x14ac:dyDescent="0.3">
      <c r="A13" s="44"/>
      <c r="B13" s="51"/>
      <c r="C13" s="51"/>
      <c r="D13" s="51"/>
      <c r="F13" s="51"/>
    </row>
    <row r="14" spans="1:7" x14ac:dyDescent="0.25">
      <c r="A14" s="41" t="s">
        <v>105</v>
      </c>
      <c r="B14" s="52"/>
      <c r="C14" s="52"/>
      <c r="D14" s="52"/>
      <c r="E14" s="34"/>
      <c r="F14" s="52"/>
      <c r="G14" s="35"/>
    </row>
    <row r="15" spans="1:7" ht="15.75" thickBot="1" x14ac:dyDescent="0.3">
      <c r="A15" s="46"/>
      <c r="B15" s="50" t="s">
        <v>106</v>
      </c>
      <c r="C15" s="53" t="s">
        <v>122</v>
      </c>
      <c r="D15" s="53" t="s">
        <v>96</v>
      </c>
      <c r="E15" s="38">
        <v>5</v>
      </c>
      <c r="F15" s="53">
        <v>2</v>
      </c>
      <c r="G15" s="39">
        <v>2</v>
      </c>
    </row>
    <row r="16" spans="1:7" ht="15.75" thickBot="1" x14ac:dyDescent="0.3">
      <c r="A16" s="44"/>
      <c r="B16" s="51"/>
      <c r="C16" s="51"/>
      <c r="D16" s="51"/>
      <c r="F16" s="51"/>
    </row>
    <row r="17" spans="1:7" x14ac:dyDescent="0.25">
      <c r="A17" s="41" t="s">
        <v>123</v>
      </c>
      <c r="B17" s="52"/>
      <c r="C17" s="52"/>
      <c r="D17" s="52"/>
      <c r="E17" s="34"/>
      <c r="F17" s="52"/>
      <c r="G17" s="35"/>
    </row>
    <row r="18" spans="1:7" x14ac:dyDescent="0.25">
      <c r="A18" s="45"/>
      <c r="B18" s="51" t="s">
        <v>107</v>
      </c>
      <c r="C18" s="51" t="s">
        <v>122</v>
      </c>
      <c r="D18" s="51" t="s">
        <v>126</v>
      </c>
      <c r="E18" s="36">
        <v>5</v>
      </c>
      <c r="F18" s="51">
        <v>2</v>
      </c>
      <c r="G18" s="37">
        <v>2</v>
      </c>
    </row>
    <row r="19" spans="1:7" x14ac:dyDescent="0.25">
      <c r="A19" s="45"/>
      <c r="B19" s="51" t="s">
        <v>108</v>
      </c>
      <c r="C19" s="51" t="s">
        <v>122</v>
      </c>
      <c r="D19" s="51" t="s">
        <v>125</v>
      </c>
      <c r="E19" s="36">
        <v>5</v>
      </c>
      <c r="F19" s="51">
        <v>2</v>
      </c>
      <c r="G19" s="37">
        <v>2</v>
      </c>
    </row>
    <row r="20" spans="1:7" ht="15.75" thickBot="1" x14ac:dyDescent="0.3">
      <c r="A20" s="46"/>
      <c r="B20" s="53" t="s">
        <v>109</v>
      </c>
      <c r="C20" s="53" t="s">
        <v>122</v>
      </c>
      <c r="D20" s="53" t="s">
        <v>125</v>
      </c>
      <c r="E20" s="38">
        <v>5</v>
      </c>
      <c r="F20" s="53">
        <v>4</v>
      </c>
      <c r="G20" s="39">
        <v>1</v>
      </c>
    </row>
    <row r="21" spans="1:7" ht="15.75" thickBot="1" x14ac:dyDescent="0.3">
      <c r="A21" s="44"/>
      <c r="B21" s="51"/>
      <c r="C21" s="51"/>
      <c r="D21" s="51"/>
      <c r="F21" s="51"/>
    </row>
    <row r="22" spans="1:7" x14ac:dyDescent="0.25">
      <c r="A22" s="41" t="s">
        <v>124</v>
      </c>
      <c r="B22" s="52"/>
      <c r="C22" s="52"/>
      <c r="D22" s="52"/>
      <c r="E22" s="34"/>
      <c r="F22" s="52"/>
      <c r="G22" s="35"/>
    </row>
    <row r="23" spans="1:7" x14ac:dyDescent="0.25">
      <c r="A23" s="45"/>
      <c r="B23" s="51" t="s">
        <v>110</v>
      </c>
      <c r="C23" s="51" t="s">
        <v>122</v>
      </c>
      <c r="D23" s="51" t="s">
        <v>96</v>
      </c>
      <c r="E23" s="36">
        <v>5</v>
      </c>
      <c r="F23" s="51">
        <v>2</v>
      </c>
      <c r="G23" s="37">
        <v>4</v>
      </c>
    </row>
    <row r="24" spans="1:7" ht="15.75" thickBot="1" x14ac:dyDescent="0.3">
      <c r="A24" s="46"/>
      <c r="B24" s="53" t="s">
        <v>111</v>
      </c>
      <c r="C24" s="53" t="s">
        <v>122</v>
      </c>
      <c r="D24" s="53" t="s">
        <v>160</v>
      </c>
      <c r="E24" s="38">
        <v>5</v>
      </c>
      <c r="F24" s="53">
        <v>4</v>
      </c>
      <c r="G24" s="39">
        <v>4</v>
      </c>
    </row>
    <row r="25" spans="1:7" ht="15.75" thickBot="1" x14ac:dyDescent="0.3">
      <c r="A25" s="44"/>
      <c r="B25" s="51"/>
      <c r="C25" s="51"/>
      <c r="D25" s="51"/>
      <c r="F25" s="51"/>
    </row>
    <row r="26" spans="1:7" x14ac:dyDescent="0.25">
      <c r="A26" s="41" t="s">
        <v>112</v>
      </c>
      <c r="B26" s="52"/>
      <c r="C26" s="52"/>
      <c r="D26" s="52"/>
      <c r="E26" s="34"/>
      <c r="F26" s="52"/>
      <c r="G26" s="35"/>
    </row>
    <row r="27" spans="1:7" ht="15.75" thickBot="1" x14ac:dyDescent="0.3">
      <c r="A27" s="46"/>
      <c r="B27" s="50" t="s">
        <v>113</v>
      </c>
      <c r="C27" s="53" t="s">
        <v>122</v>
      </c>
      <c r="D27" s="53" t="s">
        <v>125</v>
      </c>
      <c r="E27" s="38">
        <v>5</v>
      </c>
      <c r="F27" s="53">
        <v>2</v>
      </c>
      <c r="G27" s="39">
        <v>2</v>
      </c>
    </row>
    <row r="28" spans="1:7" ht="15.75" thickBot="1" x14ac:dyDescent="0.3">
      <c r="A28" s="44"/>
      <c r="B28" s="51"/>
      <c r="C28" s="51"/>
      <c r="D28" s="51"/>
      <c r="F28" s="51"/>
    </row>
    <row r="29" spans="1:7" x14ac:dyDescent="0.25">
      <c r="A29" s="41" t="s">
        <v>114</v>
      </c>
      <c r="B29" s="52"/>
      <c r="C29" s="52"/>
      <c r="D29" s="52"/>
      <c r="E29" s="34"/>
      <c r="F29" s="52"/>
      <c r="G29" s="35"/>
    </row>
    <row r="30" spans="1:7" ht="15.75" thickBot="1" x14ac:dyDescent="0.3">
      <c r="A30" s="46"/>
      <c r="B30" s="50" t="s">
        <v>127</v>
      </c>
      <c r="C30" s="53" t="s">
        <v>122</v>
      </c>
      <c r="D30" s="53" t="s">
        <v>162</v>
      </c>
      <c r="E30" s="38">
        <v>1</v>
      </c>
      <c r="F30" s="53" t="s">
        <v>161</v>
      </c>
      <c r="G30" s="39" t="s">
        <v>161</v>
      </c>
    </row>
    <row r="31" spans="1:7" ht="15.75" thickBot="1" x14ac:dyDescent="0.3">
      <c r="A31" s="44"/>
      <c r="B31" s="51"/>
      <c r="C31" s="51"/>
      <c r="D31" s="51"/>
      <c r="F31" s="51"/>
    </row>
    <row r="32" spans="1:7" x14ac:dyDescent="0.25">
      <c r="A32" s="41" t="s">
        <v>115</v>
      </c>
      <c r="B32" s="52"/>
      <c r="C32" s="52"/>
      <c r="D32" s="52"/>
      <c r="E32" s="34"/>
      <c r="F32" s="52"/>
      <c r="G32" s="35"/>
    </row>
    <row r="33" spans="1:7" x14ac:dyDescent="0.25">
      <c r="A33" s="45"/>
      <c r="B33" s="49" t="s">
        <v>116</v>
      </c>
      <c r="C33" s="51" t="s">
        <v>122</v>
      </c>
      <c r="D33" s="51" t="s">
        <v>96</v>
      </c>
      <c r="E33" s="36">
        <v>1</v>
      </c>
      <c r="F33" s="51">
        <v>1</v>
      </c>
      <c r="G33" s="37">
        <v>1</v>
      </c>
    </row>
    <row r="34" spans="1:7" x14ac:dyDescent="0.25">
      <c r="A34" s="45"/>
      <c r="B34" s="51" t="s">
        <v>117</v>
      </c>
      <c r="C34" s="51" t="s">
        <v>122</v>
      </c>
      <c r="D34" s="51" t="s">
        <v>96</v>
      </c>
      <c r="E34" s="36">
        <v>5</v>
      </c>
      <c r="F34" s="51">
        <v>2</v>
      </c>
      <c r="G34" s="37">
        <v>1</v>
      </c>
    </row>
    <row r="35" spans="1:7" ht="15.75" thickBot="1" x14ac:dyDescent="0.3">
      <c r="A35" s="46"/>
      <c r="B35" s="53" t="s">
        <v>118</v>
      </c>
      <c r="C35" s="53" t="s">
        <v>122</v>
      </c>
      <c r="D35" s="53" t="s">
        <v>96</v>
      </c>
      <c r="E35" s="38">
        <v>5</v>
      </c>
      <c r="F35" s="53">
        <v>2</v>
      </c>
      <c r="G35" s="39">
        <v>3</v>
      </c>
    </row>
    <row r="36" spans="1:7" ht="15.75" thickBot="1" x14ac:dyDescent="0.3">
      <c r="A36" s="44"/>
      <c r="B36" s="51"/>
      <c r="C36" s="51"/>
      <c r="D36" s="51"/>
      <c r="F36" s="51"/>
    </row>
    <row r="37" spans="1:7" x14ac:dyDescent="0.25">
      <c r="A37" s="41" t="s">
        <v>128</v>
      </c>
      <c r="B37" s="52"/>
      <c r="C37" s="52"/>
      <c r="D37" s="52"/>
      <c r="E37" s="34"/>
      <c r="F37" s="52"/>
      <c r="G37" s="35"/>
    </row>
    <row r="38" spans="1:7" x14ac:dyDescent="0.25">
      <c r="A38" s="45"/>
      <c r="B38" s="51" t="s">
        <v>130</v>
      </c>
      <c r="C38" s="51" t="s">
        <v>122</v>
      </c>
      <c r="D38" s="51" t="s">
        <v>91</v>
      </c>
      <c r="E38" s="36">
        <v>1</v>
      </c>
      <c r="F38" s="51">
        <v>8</v>
      </c>
      <c r="G38" s="37">
        <v>3</v>
      </c>
    </row>
    <row r="39" spans="1:7" ht="15.75" thickBot="1" x14ac:dyDescent="0.3">
      <c r="A39" s="46"/>
      <c r="B39" s="53" t="s">
        <v>144</v>
      </c>
      <c r="C39" s="53" t="s">
        <v>122</v>
      </c>
      <c r="D39" s="53" t="s">
        <v>91</v>
      </c>
      <c r="E39" s="38">
        <v>12</v>
      </c>
      <c r="F39" s="53">
        <v>2</v>
      </c>
      <c r="G39" s="39">
        <v>3</v>
      </c>
    </row>
    <row r="40" spans="1:7" ht="15.75" thickBot="1" x14ac:dyDescent="0.3">
      <c r="A40" s="44"/>
      <c r="B40" s="51"/>
      <c r="C40" s="51"/>
      <c r="D40" s="51"/>
      <c r="F40" s="51"/>
    </row>
    <row r="41" spans="1:7" x14ac:dyDescent="0.25">
      <c r="A41" s="41" t="s">
        <v>1</v>
      </c>
      <c r="B41" s="52"/>
      <c r="C41" s="52"/>
      <c r="D41" s="52"/>
      <c r="E41" s="34"/>
      <c r="F41" s="52"/>
      <c r="G41" s="35"/>
    </row>
    <row r="42" spans="1:7" x14ac:dyDescent="0.25">
      <c r="A42" s="45"/>
      <c r="B42" s="51" t="s">
        <v>131</v>
      </c>
      <c r="C42" s="51" t="s">
        <v>122</v>
      </c>
      <c r="D42" s="51" t="s">
        <v>125</v>
      </c>
      <c r="E42" s="36">
        <v>2</v>
      </c>
      <c r="F42" s="51">
        <v>12</v>
      </c>
      <c r="G42" s="37">
        <v>8</v>
      </c>
    </row>
    <row r="43" spans="1:7" x14ac:dyDescent="0.25">
      <c r="A43" s="45"/>
      <c r="B43" s="51" t="s">
        <v>135</v>
      </c>
      <c r="C43" s="51" t="s">
        <v>122</v>
      </c>
      <c r="D43" s="51" t="s">
        <v>125</v>
      </c>
      <c r="E43" s="36">
        <v>2</v>
      </c>
      <c r="F43" s="51">
        <v>4</v>
      </c>
      <c r="G43" s="37">
        <v>2</v>
      </c>
    </row>
    <row r="44" spans="1:7" ht="15.75" thickBot="1" x14ac:dyDescent="0.3">
      <c r="A44" s="46"/>
      <c r="B44" s="53" t="s">
        <v>132</v>
      </c>
      <c r="C44" s="53" t="s">
        <v>122</v>
      </c>
      <c r="D44" s="53" t="s">
        <v>125</v>
      </c>
      <c r="E44" s="38">
        <v>2</v>
      </c>
      <c r="F44" s="53">
        <v>4</v>
      </c>
      <c r="G44" s="39">
        <v>2</v>
      </c>
    </row>
    <row r="45" spans="1:7" ht="15.75" thickBot="1" x14ac:dyDescent="0.3">
      <c r="A45" s="44"/>
      <c r="B45" s="51"/>
      <c r="C45" s="51"/>
      <c r="D45" s="51"/>
      <c r="F45" s="51"/>
    </row>
    <row r="46" spans="1:7" x14ac:dyDescent="0.25">
      <c r="A46" s="41" t="s">
        <v>0</v>
      </c>
      <c r="B46" s="52"/>
      <c r="C46" s="52"/>
      <c r="D46" s="52"/>
      <c r="E46" s="34"/>
      <c r="F46" s="52"/>
      <c r="G46" s="35"/>
    </row>
    <row r="47" spans="1:7" x14ac:dyDescent="0.25">
      <c r="A47" s="45"/>
      <c r="B47" s="51" t="s">
        <v>133</v>
      </c>
      <c r="C47" s="51" t="s">
        <v>122</v>
      </c>
      <c r="D47" s="51" t="s">
        <v>91</v>
      </c>
      <c r="E47" s="36">
        <v>4</v>
      </c>
      <c r="F47" s="51">
        <v>12</v>
      </c>
      <c r="G47" s="37">
        <v>4</v>
      </c>
    </row>
    <row r="48" spans="1:7" x14ac:dyDescent="0.25">
      <c r="A48" s="45"/>
      <c r="B48" s="51" t="s">
        <v>134</v>
      </c>
      <c r="C48" s="51" t="s">
        <v>122</v>
      </c>
      <c r="D48" s="51" t="s">
        <v>91</v>
      </c>
      <c r="E48" s="36">
        <v>4</v>
      </c>
      <c r="F48" s="51">
        <v>4</v>
      </c>
      <c r="G48" s="37">
        <v>1</v>
      </c>
    </row>
    <row r="49" spans="1:7" ht="15.75" thickBot="1" x14ac:dyDescent="0.3">
      <c r="A49" s="46"/>
      <c r="B49" s="53" t="s">
        <v>136</v>
      </c>
      <c r="C49" s="53" t="s">
        <v>122</v>
      </c>
      <c r="D49" s="53" t="s">
        <v>91</v>
      </c>
      <c r="E49" s="38">
        <v>4</v>
      </c>
      <c r="F49" s="53">
        <v>4</v>
      </c>
      <c r="G49" s="39">
        <v>1</v>
      </c>
    </row>
    <row r="50" spans="1:7" ht="15.75" thickBot="1" x14ac:dyDescent="0.3">
      <c r="A50" s="44"/>
      <c r="B50" s="51"/>
      <c r="C50" s="51"/>
      <c r="D50" s="51"/>
      <c r="F50" s="51"/>
    </row>
    <row r="51" spans="1:7" x14ac:dyDescent="0.25">
      <c r="A51" s="41" t="s">
        <v>137</v>
      </c>
      <c r="B51" s="52"/>
      <c r="C51" s="52"/>
      <c r="D51" s="52"/>
      <c r="E51" s="34"/>
      <c r="F51" s="52"/>
      <c r="G51" s="35"/>
    </row>
    <row r="52" spans="1:7" x14ac:dyDescent="0.25">
      <c r="A52" s="45"/>
      <c r="B52" s="51" t="s">
        <v>138</v>
      </c>
      <c r="C52" s="51" t="s">
        <v>122</v>
      </c>
      <c r="D52" s="51" t="s">
        <v>96</v>
      </c>
      <c r="E52" s="36">
        <v>5</v>
      </c>
      <c r="F52" s="51">
        <v>12</v>
      </c>
      <c r="G52" s="37">
        <v>3</v>
      </c>
    </row>
    <row r="53" spans="1:7" x14ac:dyDescent="0.25">
      <c r="A53" s="45"/>
      <c r="B53" s="51" t="s">
        <v>139</v>
      </c>
      <c r="C53" s="51" t="s">
        <v>122</v>
      </c>
      <c r="D53" s="51" t="s">
        <v>96</v>
      </c>
      <c r="E53" s="36">
        <v>6</v>
      </c>
      <c r="F53" s="51">
        <v>12</v>
      </c>
      <c r="G53" s="37">
        <v>2</v>
      </c>
    </row>
    <row r="54" spans="1:7" ht="15.75" thickBot="1" x14ac:dyDescent="0.3">
      <c r="A54" s="46"/>
      <c r="B54" s="53" t="s">
        <v>158</v>
      </c>
      <c r="C54" s="53" t="s">
        <v>122</v>
      </c>
      <c r="D54" s="53" t="s">
        <v>91</v>
      </c>
      <c r="E54" s="38">
        <v>9</v>
      </c>
      <c r="F54" s="53">
        <v>12</v>
      </c>
      <c r="G54" s="39">
        <v>2</v>
      </c>
    </row>
    <row r="55" spans="1:7" ht="15.75" thickBot="1" x14ac:dyDescent="0.3">
      <c r="A55" s="44"/>
      <c r="B55" s="51"/>
      <c r="C55" s="51"/>
      <c r="D55" s="51"/>
      <c r="F55" s="51"/>
    </row>
    <row r="56" spans="1:7" x14ac:dyDescent="0.25">
      <c r="A56" s="41" t="s">
        <v>70</v>
      </c>
      <c r="B56" s="52"/>
      <c r="C56" s="52"/>
      <c r="D56" s="52"/>
      <c r="E56" s="34"/>
      <c r="F56" s="52"/>
      <c r="G56" s="35"/>
    </row>
    <row r="57" spans="1:7" x14ac:dyDescent="0.25">
      <c r="A57" s="45"/>
      <c r="B57" s="51" t="s">
        <v>140</v>
      </c>
      <c r="C57" s="51" t="s">
        <v>122</v>
      </c>
      <c r="D57" s="51" t="s">
        <v>96</v>
      </c>
      <c r="E57" s="36">
        <v>15</v>
      </c>
      <c r="F57" s="51">
        <v>2</v>
      </c>
      <c r="G57" s="37">
        <v>1</v>
      </c>
    </row>
    <row r="58" spans="1:7" x14ac:dyDescent="0.25">
      <c r="A58" s="45"/>
      <c r="B58" s="51" t="s">
        <v>141</v>
      </c>
      <c r="C58" s="51" t="s">
        <v>122</v>
      </c>
      <c r="D58" s="51" t="s">
        <v>96</v>
      </c>
      <c r="E58" s="36">
        <v>10</v>
      </c>
      <c r="F58" s="51">
        <v>4</v>
      </c>
      <c r="G58" s="37">
        <v>1</v>
      </c>
    </row>
    <row r="59" spans="1:7" x14ac:dyDescent="0.25">
      <c r="A59" s="45"/>
      <c r="B59" s="51" t="s">
        <v>156</v>
      </c>
      <c r="C59" s="51" t="s">
        <v>122</v>
      </c>
      <c r="D59" s="51" t="s">
        <v>163</v>
      </c>
      <c r="E59" s="36">
        <v>7</v>
      </c>
      <c r="F59" s="51">
        <v>12</v>
      </c>
      <c r="G59" s="37">
        <v>2</v>
      </c>
    </row>
    <row r="60" spans="1:7" ht="15.75" thickBot="1" x14ac:dyDescent="0.3">
      <c r="A60" s="46"/>
      <c r="B60" s="53" t="s">
        <v>157</v>
      </c>
      <c r="C60" s="53" t="s">
        <v>122</v>
      </c>
      <c r="D60" s="53" t="s">
        <v>96</v>
      </c>
      <c r="E60" s="38">
        <v>8</v>
      </c>
      <c r="F60" s="53">
        <v>12</v>
      </c>
      <c r="G60" s="39">
        <v>1</v>
      </c>
    </row>
    <row r="61" spans="1:7" ht="15.75" thickBot="1" x14ac:dyDescent="0.3">
      <c r="A61" s="44"/>
      <c r="B61" s="51"/>
      <c r="C61" s="51"/>
      <c r="D61" s="51"/>
      <c r="F61" s="51"/>
    </row>
    <row r="62" spans="1:7" x14ac:dyDescent="0.25">
      <c r="A62" s="41" t="s">
        <v>75</v>
      </c>
      <c r="B62" s="52"/>
      <c r="C62" s="52"/>
      <c r="D62" s="52"/>
      <c r="E62" s="34"/>
      <c r="F62" s="52"/>
      <c r="G62" s="35"/>
    </row>
    <row r="63" spans="1:7" x14ac:dyDescent="0.25">
      <c r="A63" s="45"/>
      <c r="B63" s="51" t="s">
        <v>142</v>
      </c>
      <c r="C63" s="51" t="s">
        <v>122</v>
      </c>
      <c r="D63" s="51" t="s">
        <v>91</v>
      </c>
      <c r="E63" s="36">
        <v>11</v>
      </c>
      <c r="F63" s="51">
        <v>8</v>
      </c>
      <c r="G63" s="37">
        <v>1</v>
      </c>
    </row>
    <row r="64" spans="1:7" ht="15.75" thickBot="1" x14ac:dyDescent="0.3">
      <c r="A64" s="46"/>
      <c r="B64" s="53" t="s">
        <v>143</v>
      </c>
      <c r="C64" s="53" t="s">
        <v>122</v>
      </c>
      <c r="D64" s="53" t="s">
        <v>91</v>
      </c>
      <c r="E64" s="38">
        <v>12</v>
      </c>
      <c r="F64" s="53">
        <v>4</v>
      </c>
      <c r="G64" s="39">
        <v>1</v>
      </c>
    </row>
    <row r="65" spans="1:7" ht="15.75" thickBot="1" x14ac:dyDescent="0.3">
      <c r="A65" s="44"/>
      <c r="B65" s="51"/>
      <c r="C65" s="51"/>
      <c r="D65" s="51"/>
      <c r="F65" s="51"/>
    </row>
    <row r="66" spans="1:7" x14ac:dyDescent="0.25">
      <c r="A66" s="41" t="s">
        <v>145</v>
      </c>
      <c r="B66" s="52"/>
      <c r="C66" s="52"/>
      <c r="D66" s="52"/>
      <c r="E66" s="34"/>
      <c r="F66" s="52"/>
      <c r="G66" s="35"/>
    </row>
    <row r="67" spans="1:7" x14ac:dyDescent="0.25">
      <c r="A67" s="45"/>
      <c r="B67" s="51" t="s">
        <v>146</v>
      </c>
      <c r="C67" s="51" t="s">
        <v>122</v>
      </c>
      <c r="D67" s="51" t="s">
        <v>91</v>
      </c>
      <c r="E67" s="36">
        <v>17</v>
      </c>
      <c r="F67" s="51">
        <v>4</v>
      </c>
      <c r="G67" s="37">
        <v>1</v>
      </c>
    </row>
    <row r="68" spans="1:7" ht="15.75" thickBot="1" x14ac:dyDescent="0.3">
      <c r="A68" s="46"/>
      <c r="B68" s="53" t="s">
        <v>147</v>
      </c>
      <c r="C68" s="53" t="s">
        <v>122</v>
      </c>
      <c r="D68" s="53" t="s">
        <v>91</v>
      </c>
      <c r="E68" s="38">
        <v>17</v>
      </c>
      <c r="F68" s="53">
        <v>4</v>
      </c>
      <c r="G68" s="39">
        <v>1</v>
      </c>
    </row>
    <row r="69" spans="1:7" ht="15.75" thickBot="1" x14ac:dyDescent="0.3">
      <c r="A69" s="44"/>
      <c r="B69" s="51"/>
      <c r="C69" s="51"/>
      <c r="D69" s="51"/>
      <c r="F69" s="51"/>
    </row>
    <row r="70" spans="1:7" x14ac:dyDescent="0.25">
      <c r="A70" s="41" t="s">
        <v>77</v>
      </c>
      <c r="B70" s="52"/>
      <c r="C70" s="52"/>
      <c r="D70" s="52"/>
      <c r="E70" s="34"/>
      <c r="F70" s="52"/>
      <c r="G70" s="35"/>
    </row>
    <row r="71" spans="1:7" x14ac:dyDescent="0.25">
      <c r="A71" s="45"/>
      <c r="B71" s="54" t="s">
        <v>152</v>
      </c>
      <c r="C71" s="51" t="s">
        <v>122</v>
      </c>
      <c r="D71" s="51" t="s">
        <v>91</v>
      </c>
      <c r="E71" s="36">
        <v>16</v>
      </c>
      <c r="F71" s="51">
        <v>1</v>
      </c>
      <c r="G71" s="37">
        <v>1</v>
      </c>
    </row>
    <row r="72" spans="1:7" x14ac:dyDescent="0.25">
      <c r="A72" s="45"/>
      <c r="B72" s="51" t="s">
        <v>149</v>
      </c>
      <c r="C72" s="51" t="s">
        <v>122</v>
      </c>
      <c r="D72" s="51" t="s">
        <v>96</v>
      </c>
      <c r="E72" s="36">
        <v>16</v>
      </c>
      <c r="F72" s="51">
        <v>1</v>
      </c>
      <c r="G72" s="37">
        <v>10</v>
      </c>
    </row>
    <row r="73" spans="1:7" x14ac:dyDescent="0.25">
      <c r="A73" s="45"/>
      <c r="B73" s="51" t="s">
        <v>150</v>
      </c>
      <c r="C73" s="51" t="s">
        <v>122</v>
      </c>
      <c r="D73" s="51" t="s">
        <v>96</v>
      </c>
      <c r="E73" s="36">
        <v>16</v>
      </c>
      <c r="F73" s="51">
        <v>1</v>
      </c>
      <c r="G73" s="37">
        <v>1</v>
      </c>
    </row>
    <row r="74" spans="1:7" x14ac:dyDescent="0.25">
      <c r="A74" s="45"/>
      <c r="B74" s="51" t="s">
        <v>151</v>
      </c>
      <c r="C74" s="51" t="s">
        <v>122</v>
      </c>
      <c r="D74" s="51" t="s">
        <v>91</v>
      </c>
      <c r="E74" s="36">
        <v>16</v>
      </c>
      <c r="F74" s="51">
        <v>1</v>
      </c>
      <c r="G74" s="37">
        <v>1</v>
      </c>
    </row>
    <row r="75" spans="1:7" ht="15.75" thickBot="1" x14ac:dyDescent="0.3">
      <c r="A75" s="46"/>
      <c r="B75" s="53" t="s">
        <v>164</v>
      </c>
      <c r="C75" s="53" t="s">
        <v>122</v>
      </c>
      <c r="D75" s="53" t="s">
        <v>125</v>
      </c>
      <c r="E75" s="38">
        <v>16</v>
      </c>
      <c r="F75" s="53">
        <v>2</v>
      </c>
      <c r="G75" s="39">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Backlog</vt:lpstr>
      <vt:lpstr>User Stories</vt:lpstr>
      <vt:lpstr>Burndown Chart</vt:lpstr>
      <vt:lpstr>Backlog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bizsetup</dc:creator>
  <cp:lastModifiedBy>Administrator</cp:lastModifiedBy>
  <dcterms:created xsi:type="dcterms:W3CDTF">2012-10-19T14:42:21Z</dcterms:created>
  <dcterms:modified xsi:type="dcterms:W3CDTF">2013-05-07T03:42:34Z</dcterms:modified>
</cp:coreProperties>
</file>